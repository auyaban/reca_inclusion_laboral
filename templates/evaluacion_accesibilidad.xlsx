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3B406E87-C1CA-41D1-836D-3D4485D77820}"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2. EVALUACIÓN DE ACCESIBILIDAD" sheetId="4" r:id="rId2"/>
    <sheet name="2.1 EVALUACIÓN FOTOS" sheetId="5" r:id="rId3"/>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12" i="1"/>
  <c r="E11" i="1"/>
  <c r="I13" i="5"/>
  <c r="I8" i="5"/>
  <c r="I12" i="5"/>
  <c r="I11" i="5"/>
  <c r="I10" i="5"/>
  <c r="I9" i="5"/>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<sst xmlns="http://schemas.openxmlformats.org/spreadsheetml/2006/main" count="392" uniqueCount="296">
  <si>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</si>
  <si>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</si>
  <si>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</si>
  <si>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</si>
  <si>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</si>
  <si>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</si>
  <si>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</si>
  <si>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</si>
  <si>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</si>
  <si>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</si>
  <si>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</si>
  <si>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</si>
  <si>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</si>
  <si>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</si>
  <si>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</si>
  <si>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</si>
  <si>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</si>
  <si>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</si>
  <si>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</si>
  <si>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</si>
  <si>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</si>
  <si>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</si>
  <si>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</si>
  <si>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</si>
  <si>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</si>
  <si>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</si>
  <si>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</si>
  <si>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</si>
  <si>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</si>
  <si>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</si>
  <si>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</si>
  <si>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</si>
  <si>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</si>
  <si>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</si>
  <si>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</si>
  <si>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</si>
  <si>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</si>
  <si>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</si>
  <si>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</si>
  <si>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</si>
  <si>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Apertura de entrada al baño con puerta exterior.</t>
  </si>
  <si>
    <t>Dimensiones y ubicación de elementos de baño para PcD.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</si>
  <si>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</si>
  <si>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</si>
  <si>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</si>
  <si>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</si>
  <si>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</si>
  <si>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</si>
  <si>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</si>
  <si>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</si>
  <si>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</si>
  <si>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</si>
  <si>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</si>
  <si>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</si>
  <si>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</si>
  <si>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</si>
  <si>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</si>
  <si>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</si>
  <si>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</si>
  <si>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</si>
  <si>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</si>
  <si>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</si>
  <si>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</si>
  <si>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</si>
  <si>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</si>
  <si>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</si>
  <si>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</si>
  <si>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</si>
  <si>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</si>
  <si>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</si>
  <si>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</si>
  <si>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</si>
  <si>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</si>
  <si>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</si>
  <si>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</si>
  <si>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</si>
  <si>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</si>
  <si>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</si>
  <si>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</si>
  <si>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</si>
  <si>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</si>
  <si>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</si>
  <si>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</si>
  <si>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</si>
  <si>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</si>
  <si>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</si>
  <si>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</si>
  <si>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</si>
  <si>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</si>
  <si>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</si>
  <si>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</si>
  <si>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</si>
  <si>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</si>
  <si>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</si>
  <si>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</si>
  <si>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</si>
  <si>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</si>
  <si>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</si>
  <si>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</si>
  <si>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</si>
  <si>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</si>
  <si>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</si>
  <si>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</si>
  <si>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</si>
  <si>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</si>
  <si>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</si>
  <si>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</si>
  <si>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</si>
  <si>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</si>
  <si>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</si>
  <si>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</si>
  <si>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</si>
  <si>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</si>
  <si>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</si>
  <si>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</si>
  <si>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</si>
  <si>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</si>
  <si>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</si>
  <si>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</si>
  <si>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</si>
  <si>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</si>
  <si>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</si>
  <si>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</si>
  <si>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</si>
  <si>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</si>
  <si>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</si>
  <si>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</si>
  <si>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</si>
  <si>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</si>
  <si>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</si>
  <si>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</si>
  <si>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</si>
  <si>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</si>
  <si>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 xml:space="preserve"> 2025-0485-CON-23069</t>
  </si>
  <si>
    <t>Fecha de la Visita:</t>
  </si>
  <si>
    <t>Modalidad:</t>
  </si>
  <si>
    <t>Nombre de la Empresa:</t>
  </si>
  <si>
    <t>Ciudad/Municipio:</t>
  </si>
  <si>
    <t>Dirección de la Empresa:</t>
  </si>
  <si>
    <t>Número de NIT:</t>
  </si>
  <si>
    <t>Teléfonos:</t>
  </si>
  <si>
    <t>Contacto de la empresa:</t>
  </si>
  <si>
    <t>Cargo:</t>
  </si>
  <si>
    <t>Empresa afiliada a Caja de Compensación:</t>
  </si>
  <si>
    <t>Sede Compensar:</t>
  </si>
  <si>
    <t>Profesional asignado RECA:</t>
  </si>
  <si>
    <t>Nombre completo:</t>
  </si>
  <si>
    <t>www.recacolombia.org</t>
  </si>
  <si>
    <t>EVALUACIÓN DE ACCESIBILIDAD</t>
  </si>
  <si>
    <t>VERSIÓN</t>
  </si>
  <si>
    <t>6.0</t>
  </si>
  <si>
    <t>FECHA</t>
  </si>
  <si>
    <t>1.DATOS DE LA EMPRESA</t>
  </si>
  <si>
    <t>Correo electrónico:</t>
  </si>
  <si>
    <t>Asesor:</t>
  </si>
  <si>
    <t>2. ACCESIBILIDAD FÍSICA</t>
  </si>
  <si>
    <t>2.1 Condiciones de movilidad y urbanísticas</t>
  </si>
  <si>
    <t>SELECCIONE Y REALICE LAS OBSERVACIONES PERTINENTES</t>
  </si>
  <si>
    <t>¿ES ACCESIBLE?</t>
  </si>
  <si>
    <t>OBSERVACIONES</t>
  </si>
  <si>
    <t>¿Existe transporte público para ingresar y salir de la empresa?</t>
  </si>
  <si>
    <t>Nota:</t>
  </si>
  <si>
    <t>Registro Google maps</t>
  </si>
  <si>
    <t>¿La empresa cuenta con rutas para sus vinculados PcD ?</t>
  </si>
  <si>
    <t>¿La organización cuenta con parqueaderos? (Vehículos, moto, bicicletas)</t>
  </si>
  <si>
    <t>¿La ubicación de la empresa es accesible?</t>
  </si>
  <si>
    <t>¿Las vías cercanas a la empresa son accesibles?</t>
  </si>
  <si>
    <t>¿Existe un paso peatonal accesible? (Puente peatonal, cebra, semáforo, sendero peatonal)</t>
  </si>
  <si>
    <t>¿Existen rampas cerca a la empresa?</t>
  </si>
  <si>
    <t>¿Existen señales podotáctiles?</t>
  </si>
  <si>
    <t>¿Se cuenta con alumbrado público cerca a la empresa?</t>
  </si>
  <si>
    <t>2.2 Condiciones de Accesibilidad General</t>
  </si>
  <si>
    <t xml:space="preserve">¿La empresa cuenta con área administrativa y operativa? </t>
  </si>
  <si>
    <t>¿La empresa cuenta con zonas comunes? (Describa cuáles)</t>
  </si>
  <si>
    <t xml:space="preserve">¿La empresa cuenta con enfermería y es accesible para la PcD? </t>
  </si>
  <si>
    <t>¿En el área administrativa, el diseño de los puestos de trabajo y mobiliario es ergonómico y está en buen estado?</t>
  </si>
  <si>
    <t>¿En el área operativa, el diseño de los puestos de trabajo y mobiliario son ergonómicos y están en buen estado?</t>
  </si>
  <si>
    <t>¿En las zonas comunes, el mobiliario se encuentra en buen estado?</t>
  </si>
  <si>
    <t>¿La organización, ha realizado evaluación ergonómica de los puestos de trabajo?</t>
  </si>
  <si>
    <t>¿Con qué tipo de ventilación se cuenta en el área administrativa?</t>
  </si>
  <si>
    <t>¿Con qué tipo de ventilación se cuenta en el área operativa?</t>
  </si>
  <si>
    <t>¿Con qué tipo de ventilación se cuenta en las áreas comunes?</t>
  </si>
  <si>
    <t>¿Con qué tipo de iluminación se cuenta en el área administrativa?</t>
  </si>
  <si>
    <t>¿Con qué tipo de iluminación se cuenta en el área operativa?</t>
  </si>
  <si>
    <t>¿Con qué tipo de iluminación se cuenta en las áreas comunes?</t>
  </si>
  <si>
    <t>¿El nivel de ruido en el área administrativa es adecuado?</t>
  </si>
  <si>
    <t>¿El nivel de ruido en el área operativa es adecuado?</t>
  </si>
  <si>
    <t>¿El nivel de ruido de las áreas comunes es adecuado?</t>
  </si>
  <si>
    <t>¿La empresa cuenta con flexibilidad de trabajo híbrido o remoto?</t>
  </si>
  <si>
    <t>¿La empresa cuenta con flexibilidad de horarios ante calamidades domésticas, teniendo en cuenta las mujeres cuidadoras?</t>
  </si>
  <si>
    <t>¿La empresa cuenta con sala de lactancia?</t>
  </si>
  <si>
    <t>¿La empresa cuenta con protocolo de manejo en sala de lactancia según  resolución 2423 del 2018 ?</t>
  </si>
  <si>
    <t>¿La empresa conoce y maneja la linea Purpura?</t>
  </si>
  <si>
    <t>¿La empresa conoce y maneja salas amigas?</t>
  </si>
  <si>
    <t>¿La empresa cuenta con un protocolo contra el hostigamiento y acoso sexual?</t>
  </si>
  <si>
    <t>¿La empresa cuenta con un protocolo contra el acoso laboral?</t>
  </si>
  <si>
    <t>¿La empresa cuenta con prácticas inclusivas orientadas a la equidad de género, ¿Cuáles?</t>
  </si>
  <si>
    <t xml:space="preserve">¿Cuenta con canales de comunicación interno que promuevan el uso de lenguaje inclusivo? </t>
  </si>
  <si>
    <t>2.3 Condiciones de Accesibilidad Discapacidad Física</t>
  </si>
  <si>
    <t>¿La entrada y salida de la empresa es accesible?</t>
  </si>
  <si>
    <t>¿ Hay rampas al interior de la empresa para el acceso a USR?</t>
  </si>
  <si>
    <t>¿Hay ascensor al interior de las instalaciones?</t>
  </si>
  <si>
    <t>¿Las zonas de oficinas son accesibles?</t>
  </si>
  <si>
    <t>¿La cafetería es accesible?</t>
  </si>
  <si>
    <t>¿Las zonas de descanso son accesibles?</t>
  </si>
  <si>
    <t>¿Los pasillos son amplios y permiten el desplazamiento independiente?</t>
  </si>
  <si>
    <t>¿Las escaleras cumplen una doble función, tanto para emergencias como para el tránsito interno de la empresa?</t>
  </si>
  <si>
    <t>¿Hay escaleras al interior de las instalaciones?</t>
  </si>
  <si>
    <t>¿Cuenta con escaleras de emergencia?</t>
  </si>
  <si>
    <t>¿Existe un baño para discapacidad física?</t>
  </si>
  <si>
    <t xml:space="preserve">¿La empresa cuenta con silla de evacuación para personas USR? </t>
  </si>
  <si>
    <t xml:space="preserve">¿La empresa cuenta con silla de evacuación tipo oruga? </t>
  </si>
  <si>
    <t>¿La organización ha realizado evaluación ergonómica de superficies sin irregularidades? (Sin desniveles bruscos y con suelos que sean antideslizantes)</t>
  </si>
  <si>
    <t>¿La señalización cumple con los criterios de la NTC?</t>
  </si>
  <si>
    <t>¿El mapa de evacuación cumple con criterios de accesibilidad de la NTC?</t>
  </si>
  <si>
    <t>¿La organización cuenta con la posibilidad de hacer ajustes razonables individualizados?</t>
  </si>
  <si>
    <t>2.4 Condiciones de Accesibilidad Discapacidad Sensorial (Visual-Auditiva)</t>
  </si>
  <si>
    <t>¿Se cuenta con señalización de orientación y movilidad?</t>
  </si>
  <si>
    <t>¿Se cuenta con señalización de emergencia?</t>
  </si>
  <si>
    <t>¿La distribución de las zonas comunes (cafetería, oficinas, entre otras) permite una fácil orientación y guia espacial?</t>
  </si>
  <si>
    <t>¿La señalización de mapa evacuación garantiza que pueda comprender y orientarse de manera autónoma y segura, "relieve-colores,apoyo auditivo"?</t>
  </si>
  <si>
    <t>¿El ascensor al interior de las instalaciones cuenta con apoyo visual y sonoro?</t>
  </si>
  <si>
    <t xml:space="preserve">¿Se cuenta con apoyo de Seguridad para la ubicación dentro de las instalaciones? </t>
  </si>
  <si>
    <t>¿Se suministra información accesible al ingreso de la empresa?</t>
  </si>
  <si>
    <t>¿La empresa hace uso de medios tecnológicos para el ingreso? (Tablet, lector facial, biométrico)</t>
  </si>
  <si>
    <t>¿El material utilizado en el proceso de selección es accesible?</t>
  </si>
  <si>
    <t>¿El material utilizado en el proceso de contratación es accesible?</t>
  </si>
  <si>
    <t xml:space="preserve">¿El material utilizado en el proceso de inducción y reinducción es accesible?                                                                                </t>
  </si>
  <si>
    <t xml:space="preserve">¿El material utilizado en el proceso de evaluación del desempeño es accesible?                                                                                </t>
  </si>
  <si>
    <t>¿La organización cuenta con plataformas de autogestión?</t>
  </si>
  <si>
    <t>¿La empresa cuenta con alarma de emergencia accesible?</t>
  </si>
  <si>
    <t>2.5 Condiciones de Accesibilidad Discapacidad Intelectual - TEA (Trastorno Espectro Autista)</t>
  </si>
  <si>
    <t>¿El ascensor al interior de las instalaciones es de fácil ubicación y su llamado a piso es de fácil entendimiento?</t>
  </si>
  <si>
    <t>¿La distribución de las zonas comunes (cafetería, oficinas, entre otras) permite una fácil orientación y percepción espacial?</t>
  </si>
  <si>
    <t>2.6 Condiciones de Accesibilidad Discapacidad Psicosocial</t>
  </si>
  <si>
    <t>3. CONDICIONES ORGANIZACIONALES</t>
  </si>
  <si>
    <t>¿La empresa ha contratado o tiene experiencias de vinculación PcD?</t>
  </si>
  <si>
    <t>¿El personal tercerizado (Seguridad, servicios generales, mantenimiento, entre otros) está capacitado o tiene experiencia en interacción con PcD?</t>
  </si>
  <si>
    <t>¿El personal directo de la empresa está capacitado o tiene experiencia en interacción con PcD?</t>
  </si>
  <si>
    <t>¿La empresa ha solicitado el apoyo y servicios de la ARL para velar por la seguridad y bienestar de los trabajadores en condición de discapacidad?</t>
  </si>
  <si>
    <t>¿La empresa ha sido capacitada en plan de emergencia y evacuación, ante una emergencia por bomberos?</t>
  </si>
  <si>
    <t>¿La empresa cuenta con una política de diversidad e inclusión laboral?</t>
  </si>
  <si>
    <t>¿El área de recursos humanos conoce la normatividad vigente para la vinculación laboral de PcD?</t>
  </si>
  <si>
    <t>¿La empresa tiene dentro de su alcance realizar ajustes razonables, e implementar sistemas de apoyo que se sugieren para la vinculación de PcD.?</t>
  </si>
  <si>
    <t>¿La empresa cuenta con protocolo de atención de emergencias para personas con discapacidad?</t>
  </si>
  <si>
    <t>¿La empresa ha solicitado apoyo de otra entidad como bomberos para población con discapacidad?</t>
  </si>
  <si>
    <t xml:space="preserve"> ¿La empresa cuenta con disposición y tiempo para realizar los procesos de Inclusión Laboral?</t>
  </si>
  <si>
    <t xml:space="preserve"> ¿La empresa cuenta con prácticas inclusivas orientadas a la equidad de género y cuáles?</t>
  </si>
  <si>
    <t>4. CONCEPTO DE LA EVALUACIÓN</t>
  </si>
  <si>
    <t>Porcentajes de Evaluación</t>
  </si>
  <si>
    <t>Nivel de accesibilidad</t>
  </si>
  <si>
    <t>Condiciones</t>
  </si>
  <si>
    <t>86% - 100%</t>
  </si>
  <si>
    <t>51% - 85%</t>
  </si>
  <si>
    <t>1% - 50%</t>
  </si>
  <si>
    <t>5. AJUSTES RAZONABLES</t>
  </si>
  <si>
    <t>DISCAPACIDADES</t>
  </si>
  <si>
    <t>APLICA</t>
  </si>
  <si>
    <t>Aplica</t>
  </si>
  <si>
    <t>No aplica</t>
  </si>
  <si>
    <t>6. OBSERVACIONES</t>
  </si>
  <si>
    <t xml:space="preserve">7. CARGOS COMPATIBLES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</si>
  <si>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</si>
  <si>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8. ASISTENTES</t>
  </si>
  <si>
    <t>Sandra Milena Pachón Rojas</t>
  </si>
  <si>
    <t>EV-IL</t>
  </si>
  <si>
    <t>1.0</t>
  </si>
  <si>
    <r>
      <rPr>
        <b/>
        <sz val="12"/>
        <color theme="1"/>
        <rFont val="Arial"/>
      </rPr>
      <t xml:space="preserve">Objetivo: </t>
    </r>
    <r>
      <rPr>
        <sz val="12"/>
        <color theme="1"/>
        <rFont val="Arial"/>
      </rPr>
      <t>Realizar diagnóstico de barreras y facilitadores para conocer el estado de la empresa frente al proceso de inclusión laboral identificando los apoyos y ajustes razonables que deben implementarse. El entregable incluirá un plan de ajustes razonables, el cuál determina la compatibilidad y accesibilidad de la empresa en procesos de inclusión laboral.</t>
    </r>
  </si>
  <si>
    <t>1. ANEXOS AL PROCESO DE EVALUACIÓN DE ACCESIBILIDAD</t>
  </si>
  <si>
    <t>Evidencia</t>
  </si>
  <si>
    <t>Locación</t>
  </si>
  <si>
    <t>Normatividad</t>
  </si>
  <si>
    <t>EV-IL-01-4</t>
  </si>
  <si>
    <t>Si</t>
  </si>
  <si>
    <t>No</t>
  </si>
  <si>
    <t>Parcial</t>
  </si>
  <si>
    <r>
      <rPr>
        <b/>
        <sz val="12"/>
        <color theme="1"/>
        <rFont val="Arial"/>
        <family val="2"/>
        <scheme val="minor"/>
      </rPr>
      <t xml:space="preserve">Objetivo: </t>
    </r>
    <r>
      <rPr>
        <sz val="12"/>
        <color theme="1"/>
        <rFont val="Arial"/>
        <family val="2"/>
        <scheme val="minor"/>
      </rPr>
      <t>Realizar diagnóstico de barreras y facilitadores para conocer el estado de la empresa frente al proceso de inclusión laboral identificando los apoyos y ajustes razonables que deben implementarse. El entregable incluirá un plan de ajustes razonables, el cual determina la compatibilidad y accesibilidad de la empresa en procesos de inclusión laboral.</t>
    </r>
  </si>
  <si>
    <r>
      <rPr>
        <b/>
        <sz val="12"/>
        <color theme="1"/>
        <rFont val="Arial"/>
        <family val="2"/>
        <scheme val="minor"/>
      </rPr>
      <t xml:space="preserve">Discapacidad Física: </t>
    </r>
    <r>
      <rPr>
        <sz val="12"/>
        <color theme="1"/>
        <rFont val="Arial"/>
        <family val="2"/>
        <scheme val="minor"/>
      </rPr>
      <t xml:space="preserve">
I60-I69 Enfermedades cerebrovasculares, G12 Atrofia muscular espinal y síndromes afines, E10-E14 Diabetes mellitus, L10 Pénfigo, M00 Artritis piógena, G24 Distonía, G40 Epilepsia, entre otros, G83 Hemiparesia, Q77.4 Acondroplasia.</t>
    </r>
  </si>
  <si>
    <r>
      <rPr>
        <b/>
        <sz val="12"/>
        <color theme="1"/>
        <rFont val="Arial"/>
        <family val="2"/>
        <scheme val="minor"/>
      </rPr>
      <t xml:space="preserve">Discapacidad Física Usuario en Silla de Ruedas (USR): </t>
    </r>
    <r>
      <rPr>
        <sz val="12"/>
        <color theme="1"/>
        <rFont val="Arial"/>
        <family val="2"/>
        <scheme val="minor"/>
      </rPr>
      <t xml:space="preserve">
G80 Parálisis cerebral, G82 Paraplejía y cuadriplejía, G83 Otros síndromes paralíticos, G71.0 Distrofia muscular, G35 Esclerosis múltiple, entre otros. </t>
    </r>
  </si>
  <si>
    <r>
      <rPr>
        <b/>
        <sz val="12"/>
        <color theme="1"/>
        <rFont val="Arial"/>
        <family val="2"/>
        <scheme val="minor"/>
      </rPr>
      <t xml:space="preserve">Discapacidad Auditiva: 
</t>
    </r>
    <r>
      <rPr>
        <sz val="12"/>
        <color theme="1"/>
        <rFont val="Arial"/>
        <family val="2"/>
        <scheme val="minor"/>
      </rPr>
      <t>C72.4 Tumor maligno del nervio acústico, H80 Otosclerosis, H81 Trastornos de la función vestibular, H83.0 Laberintitis, H83.1 Fístula del laberinto.</t>
    </r>
  </si>
  <si>
    <r>
      <rPr>
        <b/>
        <sz val="12"/>
        <color theme="1"/>
        <rFont val="Arial"/>
        <family val="2"/>
        <scheme val="minor"/>
      </rPr>
      <t xml:space="preserve">Discapacidad Visual: </t>
    </r>
    <r>
      <rPr>
        <sz val="12"/>
        <color theme="1"/>
        <rFont val="Arial"/>
        <family val="2"/>
        <scheme val="minor"/>
      </rPr>
      <t xml:space="preserve">
H54 Ceguera y disminución de la agudeza visual, A18.5 Tuberculosis del ojo , C69.0 Tumor maligno de la conjuntiva, C69.1 Tumor maligno de la córnea, C69.2 Tumor maligno de la retina, H18.4 Degeneración de la córnea. </t>
    </r>
  </si>
  <si>
    <r>
      <rPr>
        <b/>
        <sz val="12"/>
        <color theme="1"/>
        <rFont val="Arial"/>
        <family val="2"/>
        <scheme val="minor"/>
      </rPr>
      <t xml:space="preserve">Discapacidad Intelectual: 
</t>
    </r>
    <r>
      <rPr>
        <sz val="12"/>
        <color theme="1"/>
        <rFont val="Arial"/>
        <family val="2"/>
        <scheme val="minor"/>
      </rPr>
      <t>Q90 Síndrome de Down, Q91 Síndrome de Edwards y síndrome de Patau, F70 Retraso mental leve, G20 Enfermedad de Parkinson, G30 Enfermedad de Alzheimer.</t>
    </r>
  </si>
  <si>
    <r>
      <rPr>
        <b/>
        <sz val="12"/>
        <color theme="1"/>
        <rFont val="Arial"/>
        <family val="2"/>
        <scheme val="minor"/>
      </rPr>
      <t xml:space="preserve">Trastorno del Espectro Autista: 
</t>
    </r>
    <r>
      <rPr>
        <sz val="12"/>
        <color theme="1"/>
        <rFont val="Arial"/>
        <family val="2"/>
        <scheme val="minor"/>
      </rPr>
      <t>F84.5 Síndrome de Asperger, F60.2 Trastorno asocial de la personalidad, F84.1 Autismo atípico.</t>
    </r>
  </si>
  <si>
    <r>
      <t xml:space="preserve">Discapacidad Psicosocial: 
</t>
    </r>
    <r>
      <rPr>
        <sz val="12"/>
        <color theme="1"/>
        <rFont val="Arial"/>
        <family val="2"/>
        <scheme val="minor"/>
      </rPr>
      <t>F92.0 Trastorno depresivo de la conducta, F25 Trastornos esquizoafectivos, F31 Trastorno afectivo bipolar, F34 Trastornos del humor [afectivos] persistentes, F50.1 Anorexia nerviosa atípica, F60 Trastornos específicos de la personalidad.</t>
    </r>
  </si>
  <si>
    <r>
      <rPr>
        <b/>
        <sz val="12"/>
        <color theme="1"/>
        <rFont val="Arial"/>
        <family val="2"/>
        <scheme val="minor"/>
      </rPr>
      <t xml:space="preserve">Discapacidad Visual Tipo Baja Visión: 
</t>
    </r>
    <r>
      <rPr>
        <sz val="12"/>
        <color theme="1"/>
        <rFont val="Arial"/>
        <family val="2"/>
        <scheme val="minor"/>
      </rPr>
      <t>H18.3 Cambios en las membranas de la córnea, H33 Desprendimiento y desgarro de la retina, H40 Glaucoma, H00 Orzuelo y calacio, H06 Trastornos del aparato lagrimal, H54 Ceguera y disminución de la agudeza visual.</t>
    </r>
  </si>
  <si>
    <r>
      <rPr>
        <b/>
        <sz val="12"/>
        <color theme="1"/>
        <rFont val="Arial"/>
        <family val="2"/>
        <scheme val="minor"/>
      </rPr>
      <t>Discapacidad Auditiva Audición Reducida:</t>
    </r>
    <r>
      <rPr>
        <sz val="12"/>
        <color theme="1"/>
        <rFont val="Arial"/>
        <family val="2"/>
        <scheme val="minor"/>
      </rPr>
      <t xml:space="preserve">
H90 Hipoacusia conductiva y neurosensorial, H73 Otros trastornos de la membrana timpánica, H90 Hipoacusia conductiva y neurosensorial, H90.0 Hipoacusia conductiva bilateral, H90.5 Hipoacusia neurosensorial, sin otra especificación, H90.6 Hipoacusia mixta conductiva y neurosensorial, bilateral.</t>
    </r>
  </si>
  <si>
    <r>
      <rPr>
        <sz val="12"/>
        <color theme="1"/>
        <rFont val="Arial"/>
        <family val="2"/>
        <scheme val="minor"/>
      </rPr>
      <t>Teniendo en cuenta la evaluación de accesibilidad realizada, en el dialogo y recorrido por las instalaciones de la compañía, se describen las discapacidades compatibles en áreas visitadas:</t>
    </r>
    <r>
      <rPr>
        <b/>
        <sz val="12"/>
        <color theme="1"/>
        <rFont val="Arial"/>
        <family val="2"/>
        <scheme val="minor"/>
      </rPr>
      <t xml:space="preserve">
 </t>
    </r>
  </si>
  <si>
    <t>Medio</t>
  </si>
  <si>
    <t>La empresa ha mostrado un esfuerzo moderado en cuanto a infraestructura, arquitectura y accesibilidad para personas con discapacidad. Se han tomado algunas medidas para garantizar la accesibilidad en algunos lugares, pero aun se requiere mejorar en otros aspectos.</t>
  </si>
  <si>
    <t>Realizar los ajustes arquitectónicos correspondientes en el puesto de trabajo, las áreas comunes, implementar acciones de mejora y asignación de entregables acordes con su condición de salud.</t>
  </si>
  <si>
    <t>Para establecer una comunicación efectiva, es crucial utilizar diversas herramientas y técnicas como mensajes de texto, aplicaciones de chat, intérprete de lengua de señas colombiana - LSC, entre otros.</t>
  </si>
  <si>
    <t>En caso de que se presente una fatiga visual, se recomienda alternar las tareas de escritura. Garantizar lectores de pantalla, magnificadores, teclados con teclas grandes, entre otros.</t>
  </si>
  <si>
    <t>Garantice que el ambiente sea agradable, ventilado y sin interferencias a fin de lograr toda su atención y disposición.</t>
  </si>
  <si>
    <t>En caso de que se presente una fatiga visual, se recomienda alternar las tareas de escritura. Garantizar magnificadores, teclados con teclas grandes, entre otros.</t>
  </si>
  <si>
    <t>Para establecer una comunicación efectiva, es crucial utilizar diversas herramientas y técnicas como: Correo electrónico, notas escritas, mensajes de texto, uso de WhatsApp y el centro de relevo, es importante tener en cuenta que al comunicar algo o dar instrucciones, se recomienda hacer contacto visual y mantener un tono de voz claro y alto sin llegar a gritar. Para garantizar la comprensión, se sugiere adaptar videos con Lengua de Señas Colombiana (LSC) siempre que sea posible. Estas medidas son compatibles y beneficiosas para personas con hipoacusia o sordera, contribuyendo a una comunicación más inclusiva y efectiva.</t>
  </si>
  <si>
    <t>Coordinación de inclusión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</si>
</sst>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8">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0"/>
      <color theme="1"/>
      <name val="Arial"/>
    </font>
    <font>
      <sz val="12"/>
      <color theme="1"/>
      <name val="Arial"/>
    </font>
    <font>
      <b/>
      <sz val="10"/>
      <color theme="1"/>
      <name val="Arial"/>
    </font>
    <font>
      <b/>
      <sz val="12"/>
      <color theme="1"/>
      <name val="&quot;arial&quot;"/>
    </font>
    <font>
      <b/>
      <sz val="12"/>
      <color theme="1"/>
      <name val="Arial"/>
      <scheme val="minor"/>
    </font>
    <font>
      <sz val="12"/>
      <color theme="1"/>
      <name val="Arial"/>
      <scheme val="minor"/>
    </font>
    <font>
      <b/>
      <sz val="11"/>
      <color theme="1"/>
      <name val="Arial"/>
    </font>
    <font>
      <sz val="12"/>
      <color theme="1"/>
      <name val="Arial"/>
      <family val="2"/>
      <scheme val="minor"/>
    </font>
    <font>
      <sz val="10"/>
      <name val="Arial"/>
      <family val="2"/>
      <scheme val="minor"/>
    </font>
    <font>
      <b/>
      <sz val="12"/>
      <color theme="1"/>
      <name val="Arial"/>
      <family val="2"/>
      <scheme val="minor"/>
    </font>
    <font>
      <sz val="10"/>
      <color theme="1"/>
      <name val="Arial"/>
      <family val="2"/>
      <scheme val="minor"/>
    </font>
    <font>
      <sz val="12"/>
      <color rgb="FF000000"/>
      <name val="Arial"/>
      <family val="2"/>
      <scheme val="minor"/>
    </font>
    <font>
      <sz val="10"/>
      <color rgb="FF000000"/>
      <name val="Arial"/>
      <family val="2"/>
      <scheme val="minor"/>
    </font>
    <font>
      <sz val="12"/>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CCCCCC"/>
        <bgColor rgb="FFCCCCCC"/>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rgb="FF000000"/>
      </left>
      <right/>
      <top style="thin">
        <color indexed="64"/>
      </top>
      <bottom/>
      <diagonal/>
    </border>
    <border>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indexed="64"/>
      </right>
      <top style="thin">
        <color rgb="FF000000"/>
      </top>
      <bottom style="thin">
        <color rgb="FF000000"/>
      </bottom>
      <diagonal/>
    </border>
    <border>
      <left/>
      <right style="thin">
        <color indexed="64"/>
      </right>
      <top style="thin">
        <color indexed="64"/>
      </top>
      <bottom style="thin">
        <color indexed="64"/>
      </bottom>
      <diagonal/>
    </border>
  </borders>
  <cellStyleXfs count="1">
    <xf numFmtId="0" fontId="0" fillId="0" borderId="0"/>
  </cellStyleXfs>
  <cellXfs count="166">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6" fillId="0" borderId="0" xfId="0" applyFont="1"/>
    <xf numFmtId="0" fontId="18" fillId="0" borderId="1" xfId="0" applyFont="1" applyBorder="1" applyAlignment="1">
      <alignment horizontal="center" vertical="center"/>
    </xf>
    <xf numFmtId="0" fontId="19" fillId="0" borderId="15" xfId="0" applyFont="1" applyBorder="1" applyAlignment="1">
      <alignment horizontal="center" vertical="center" wrapText="1"/>
    </xf>
    <xf numFmtId="0" fontId="6" fillId="0" borderId="0" xfId="0" applyFont="1" applyAlignment="1">
      <alignment vertical="top" wrapText="1"/>
    </xf>
    <xf numFmtId="0" fontId="1" fillId="0" borderId="1" xfId="0" applyFont="1" applyBorder="1" applyAlignment="1">
      <alignment horizontal="left" vertical="center"/>
    </xf>
    <xf numFmtId="0" fontId="7" fillId="2" borderId="0" xfId="0" applyFont="1" applyFill="1" applyAlignment="1">
      <alignment horizontal="center" vertical="center"/>
    </xf>
    <xf numFmtId="0" fontId="19" fillId="0" borderId="16" xfId="0" applyFont="1" applyBorder="1" applyAlignment="1">
      <alignment horizontal="center" vertical="center" wrapText="1"/>
    </xf>
    <xf numFmtId="0" fontId="2" fillId="0" borderId="0" xfId="0" applyFont="1"/>
    <xf numFmtId="0" fontId="23" fillId="0" borderId="13" xfId="0" applyFont="1" applyBorder="1" applyAlignment="1">
      <alignment vertical="center" wrapText="1"/>
    </xf>
    <xf numFmtId="0" fontId="23" fillId="0" borderId="4" xfId="0" applyFont="1" applyBorder="1" applyAlignment="1">
      <alignment vertical="center" wrapText="1"/>
    </xf>
    <xf numFmtId="0" fontId="23" fillId="2" borderId="13" xfId="0" applyFont="1" applyFill="1" applyBorder="1" applyAlignment="1">
      <alignment vertical="center" wrapText="1"/>
    </xf>
    <xf numFmtId="0" fontId="23" fillId="0" borderId="12" xfId="0" applyFont="1" applyBorder="1" applyAlignment="1">
      <alignment vertical="center" wrapText="1"/>
    </xf>
    <xf numFmtId="0" fontId="23" fillId="0" borderId="12" xfId="0" applyFont="1" applyBorder="1" applyAlignment="1">
      <alignment wrapText="1"/>
    </xf>
    <xf numFmtId="0" fontId="21" fillId="0" borderId="14" xfId="0" applyFont="1" applyBorder="1" applyAlignment="1">
      <alignment vertical="center"/>
    </xf>
    <xf numFmtId="0" fontId="14" fillId="4" borderId="24" xfId="0" applyFont="1" applyFill="1" applyBorder="1" applyAlignment="1">
      <alignment horizontal="center" vertical="center" wrapText="1"/>
    </xf>
    <xf numFmtId="0" fontId="16" fillId="0" borderId="24" xfId="0" applyFont="1" applyBorder="1" applyAlignment="1">
      <alignment horizontal="center" vertical="center" wrapText="1"/>
    </xf>
    <xf numFmtId="164" fontId="16" fillId="0" borderId="24" xfId="0" applyNumberFormat="1" applyFont="1" applyBorder="1" applyAlignment="1">
      <alignment horizontal="center" vertical="center" wrapText="1"/>
    </xf>
    <xf numFmtId="0" fontId="21" fillId="0" borderId="4" xfId="0" applyFont="1" applyBorder="1" applyAlignment="1">
      <alignment horizontal="left" vertical="center" wrapText="1"/>
    </xf>
    <xf numFmtId="0" fontId="22" fillId="0" borderId="5" xfId="0" applyFont="1" applyBorder="1" applyAlignment="1">
      <alignment horizontal="left" vertical="center" wrapText="1"/>
    </xf>
    <xf numFmtId="0" fontId="21" fillId="0" borderId="3" xfId="0" applyFont="1" applyBorder="1" applyAlignment="1">
      <alignment horizontal="left" vertical="center" wrapText="1"/>
    </xf>
    <xf numFmtId="0" fontId="22" fillId="0" borderId="7" xfId="0" applyFont="1" applyBorder="1" applyAlignment="1">
      <alignment horizontal="left" vertical="center" wrapText="1"/>
    </xf>
    <xf numFmtId="0" fontId="21" fillId="0" borderId="13" xfId="0" applyFont="1" applyBorder="1" applyAlignment="1">
      <alignment horizontal="left" vertical="center" wrapText="1"/>
    </xf>
    <xf numFmtId="0" fontId="22" fillId="0" borderId="12" xfId="0" applyFont="1" applyBorder="1" applyAlignment="1">
      <alignment horizontal="left" vertical="center" wrapText="1"/>
    </xf>
    <xf numFmtId="0" fontId="13" fillId="2" borderId="3" xfId="0" applyFont="1" applyFill="1" applyBorder="1" applyAlignment="1">
      <alignment horizontal="center" vertical="center" wrapText="1"/>
    </xf>
    <xf numFmtId="0" fontId="10" fillId="0" borderId="7" xfId="0" applyFont="1" applyBorder="1"/>
    <xf numFmtId="0" fontId="10" fillId="0" borderId="8" xfId="0" applyFont="1" applyBorder="1"/>
    <xf numFmtId="0" fontId="10" fillId="0" borderId="9" xfId="0" applyFont="1" applyBorder="1"/>
    <xf numFmtId="0" fontId="0" fillId="0" borderId="0" xfId="0"/>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22" fillId="0" borderId="6" xfId="0" applyFont="1" applyBorder="1" applyAlignment="1">
      <alignment horizontal="left" vertical="center" wrapText="1"/>
    </xf>
    <xf numFmtId="0" fontId="25" fillId="0" borderId="4" xfId="0" applyFont="1" applyBorder="1" applyAlignment="1">
      <alignment horizontal="left" vertical="center" wrapText="1"/>
    </xf>
    <xf numFmtId="0" fontId="22" fillId="0" borderId="5" xfId="0" applyFont="1" applyBorder="1"/>
    <xf numFmtId="0" fontId="22" fillId="0" borderId="6" xfId="0" applyFont="1" applyBorder="1"/>
    <xf numFmtId="0" fontId="21" fillId="0" borderId="4" xfId="0" applyFont="1" applyBorder="1" applyAlignment="1">
      <alignment vertical="center" wrapText="1"/>
    </xf>
    <xf numFmtId="0" fontId="16" fillId="0" borderId="4" xfId="0" applyFont="1" applyBorder="1" applyAlignment="1">
      <alignment horizontal="center" vertical="center" wrapText="1"/>
    </xf>
    <xf numFmtId="0" fontId="10" fillId="0" borderId="6" xfId="0" applyFont="1" applyBorder="1"/>
    <xf numFmtId="0" fontId="16" fillId="2" borderId="4" xfId="0" applyFont="1" applyFill="1" applyBorder="1" applyAlignment="1">
      <alignment horizontal="center" vertical="center"/>
    </xf>
    <xf numFmtId="0" fontId="10" fillId="0" borderId="5" xfId="0" applyFont="1" applyBorder="1"/>
    <xf numFmtId="0" fontId="21" fillId="2" borderId="4" xfId="0" applyFont="1" applyFill="1" applyBorder="1" applyAlignment="1">
      <alignment horizontal="left" vertical="center" wrapText="1"/>
    </xf>
    <xf numFmtId="0" fontId="23" fillId="3" borderId="4" xfId="0" applyFont="1" applyFill="1" applyBorder="1" applyAlignment="1">
      <alignment horizontal="center" vertical="center"/>
    </xf>
    <xf numFmtId="164" fontId="21" fillId="0" borderId="4" xfId="0" applyNumberFormat="1" applyFont="1" applyBorder="1" applyAlignment="1">
      <alignment horizontal="left" vertical="center" wrapText="1"/>
    </xf>
    <xf numFmtId="0" fontId="2" fillId="0" borderId="3" xfId="0" applyFont="1" applyBorder="1" applyAlignment="1">
      <alignment horizontal="center" vertical="center"/>
    </xf>
    <xf numFmtId="0" fontId="23" fillId="3" borderId="4" xfId="0" applyFont="1" applyFill="1" applyBorder="1" applyAlignment="1">
      <alignment horizontal="center" vertical="center" wrapText="1"/>
    </xf>
    <xf numFmtId="0" fontId="23" fillId="0" borderId="5" xfId="0" applyFont="1" applyBorder="1" applyAlignment="1">
      <alignment horizontal="center" vertical="center" wrapText="1"/>
    </xf>
    <xf numFmtId="0" fontId="25" fillId="2" borderId="4" xfId="0" applyFont="1" applyFill="1" applyBorder="1" applyAlignment="1">
      <alignment horizontal="left" vertical="center" wrapText="1"/>
    </xf>
    <xf numFmtId="0" fontId="21" fillId="0" borderId="4" xfId="0" applyFont="1" applyBorder="1" applyAlignment="1">
      <alignment horizontal="center" vertical="center" wrapText="1"/>
    </xf>
    <xf numFmtId="0" fontId="22" fillId="0" borderId="7" xfId="0" applyFont="1" applyBorder="1"/>
    <xf numFmtId="0" fontId="22" fillId="0" borderId="8" xfId="0" applyFont="1" applyBorder="1"/>
    <xf numFmtId="0" fontId="21" fillId="0" borderId="5" xfId="0" applyFont="1" applyBorder="1" applyAlignment="1">
      <alignment vertical="center" wrapText="1"/>
    </xf>
    <xf numFmtId="0" fontId="22" fillId="0" borderId="5" xfId="0" applyFont="1" applyBorder="1" applyAlignment="1">
      <alignment vertical="center" wrapText="1"/>
    </xf>
    <xf numFmtId="0" fontId="22" fillId="0" borderId="6" xfId="0" applyFont="1" applyBorder="1" applyAlignment="1">
      <alignment vertical="center" wrapText="1"/>
    </xf>
    <xf numFmtId="0" fontId="23" fillId="0" borderId="4" xfId="0" applyFont="1" applyBorder="1" applyAlignment="1">
      <alignment horizontal="center" vertical="center" wrapText="1"/>
    </xf>
    <xf numFmtId="0" fontId="21" fillId="2" borderId="4" xfId="0" applyFont="1" applyFill="1" applyBorder="1" applyAlignment="1">
      <alignment vertical="center" wrapText="1"/>
    </xf>
    <xf numFmtId="0" fontId="21" fillId="2" borderId="3" xfId="0" applyFont="1" applyFill="1" applyBorder="1" applyAlignment="1">
      <alignment vertical="center" wrapText="1"/>
    </xf>
    <xf numFmtId="0" fontId="21" fillId="0" borderId="3" xfId="0" applyFont="1" applyBorder="1" applyAlignment="1">
      <alignment vertical="center" wrapText="1"/>
    </xf>
    <xf numFmtId="0" fontId="21" fillId="0" borderId="4" xfId="0" applyFont="1" applyBorder="1" applyAlignment="1">
      <alignment wrapText="1"/>
    </xf>
    <xf numFmtId="0" fontId="22" fillId="0" borderId="5" xfId="0" applyFont="1" applyBorder="1" applyAlignment="1">
      <alignment wrapText="1"/>
    </xf>
    <xf numFmtId="0" fontId="22" fillId="0" borderId="6" xfId="0" applyFont="1" applyBorder="1" applyAlignment="1">
      <alignment wrapText="1"/>
    </xf>
    <xf numFmtId="0" fontId="22" fillId="0" borderId="13" xfId="0" applyFont="1" applyBorder="1"/>
    <xf numFmtId="0" fontId="22" fillId="0" borderId="12" xfId="0" applyFont="1" applyBorder="1"/>
    <xf numFmtId="0" fontId="22" fillId="0" borderId="11" xfId="0" applyFont="1" applyBorder="1"/>
    <xf numFmtId="0" fontId="21" fillId="0" borderId="3" xfId="0" applyFont="1" applyBorder="1" applyAlignment="1">
      <alignment horizontal="center" vertical="center" wrapText="1"/>
    </xf>
    <xf numFmtId="0" fontId="21" fillId="2" borderId="3" xfId="0" applyFont="1" applyFill="1" applyBorder="1" applyAlignment="1">
      <alignment horizontal="left" vertical="center" wrapText="1"/>
    </xf>
    <xf numFmtId="0" fontId="21" fillId="0" borderId="4" xfId="0" applyFont="1" applyBorder="1" applyAlignment="1">
      <alignment vertical="center"/>
    </xf>
    <xf numFmtId="0" fontId="21" fillId="0" borderId="13" xfId="0" applyFont="1" applyBorder="1" applyAlignment="1">
      <alignment vertical="center" wrapText="1"/>
    </xf>
    <xf numFmtId="0" fontId="22" fillId="0" borderId="12" xfId="0" applyFont="1" applyBorder="1" applyAlignment="1">
      <alignment wrapText="1"/>
    </xf>
    <xf numFmtId="0" fontId="22" fillId="0" borderId="11" xfId="0" applyFont="1" applyBorder="1" applyAlignment="1">
      <alignment wrapText="1"/>
    </xf>
    <xf numFmtId="0" fontId="22" fillId="0" borderId="9" xfId="0" applyFont="1" applyBorder="1"/>
    <xf numFmtId="0" fontId="26" fillId="0" borderId="0" xfId="0" applyFont="1"/>
    <xf numFmtId="0" fontId="22" fillId="0" borderId="10" xfId="0" applyFont="1" applyBorder="1"/>
    <xf numFmtId="0" fontId="21" fillId="2" borderId="4" xfId="0" applyFont="1" applyFill="1" applyBorder="1" applyAlignment="1">
      <alignment horizontal="center" vertical="center" wrapText="1"/>
    </xf>
    <xf numFmtId="0" fontId="21" fillId="2" borderId="5" xfId="0" applyFont="1" applyFill="1" applyBorder="1" applyAlignment="1">
      <alignment vertical="center" wrapText="1"/>
    </xf>
    <xf numFmtId="0" fontId="21" fillId="0" borderId="13" xfId="0" applyFont="1" applyBorder="1" applyAlignment="1">
      <alignment vertical="center"/>
    </xf>
    <xf numFmtId="0" fontId="21" fillId="0" borderId="13" xfId="0" applyFont="1" applyBorder="1" applyAlignment="1">
      <alignment wrapText="1"/>
    </xf>
    <xf numFmtId="0" fontId="23" fillId="5" borderId="9" xfId="0" applyFont="1" applyFill="1" applyBorder="1" applyAlignment="1">
      <alignment horizontal="center" vertical="center" wrapText="1"/>
    </xf>
    <xf numFmtId="0" fontId="22" fillId="0" borderId="0" xfId="0" applyFont="1"/>
    <xf numFmtId="0" fontId="23" fillId="2" borderId="19" xfId="0" applyFont="1" applyFill="1" applyBorder="1" applyAlignment="1">
      <alignment horizontal="left" vertical="top" wrapText="1"/>
    </xf>
    <xf numFmtId="0" fontId="22" fillId="0" borderId="19" xfId="0" applyFont="1" applyBorder="1"/>
    <xf numFmtId="0" fontId="22" fillId="0" borderId="20" xfId="0" applyFont="1" applyBorder="1"/>
    <xf numFmtId="0" fontId="21" fillId="2" borderId="22" xfId="0" applyFont="1" applyFill="1" applyBorder="1" applyAlignment="1">
      <alignment vertical="center" wrapText="1"/>
    </xf>
    <xf numFmtId="0" fontId="26" fillId="0" borderId="19" xfId="0" applyFont="1" applyBorder="1"/>
    <xf numFmtId="0" fontId="22" fillId="0" borderId="23" xfId="0" applyFont="1" applyBorder="1"/>
    <xf numFmtId="0" fontId="23" fillId="3" borderId="13" xfId="0" applyFont="1" applyFill="1" applyBorder="1" applyAlignment="1">
      <alignment horizontal="center" vertical="center"/>
    </xf>
    <xf numFmtId="0" fontId="21" fillId="2" borderId="0" xfId="0" applyFont="1" applyFill="1" applyAlignment="1">
      <alignment horizontal="left" vertical="top" wrapText="1"/>
    </xf>
    <xf numFmtId="0" fontId="21" fillId="2" borderId="21" xfId="0" applyFont="1" applyFill="1" applyBorder="1" applyAlignment="1">
      <alignment horizontal="left" vertical="top" wrapText="1"/>
    </xf>
    <xf numFmtId="0" fontId="21" fillId="0" borderId="12" xfId="0" applyFont="1" applyBorder="1" applyAlignment="1">
      <alignment vertical="center"/>
    </xf>
    <xf numFmtId="0" fontId="21" fillId="0" borderId="12" xfId="0" applyFont="1" applyBorder="1" applyAlignment="1">
      <alignment vertical="center" wrapText="1"/>
    </xf>
    <xf numFmtId="0" fontId="24" fillId="3" borderId="25" xfId="0" applyFont="1" applyFill="1" applyBorder="1" applyAlignment="1">
      <alignment horizontal="center" vertical="center"/>
    </xf>
    <xf numFmtId="0" fontId="22" fillId="0" borderId="26" xfId="0" applyFont="1" applyBorder="1"/>
    <xf numFmtId="0" fontId="22" fillId="0" borderId="27" xfId="0" applyFont="1" applyBorder="1"/>
    <xf numFmtId="0" fontId="21" fillId="0" borderId="7" xfId="0" applyFont="1" applyBorder="1" applyAlignment="1">
      <alignment horizontal="center" vertical="center" wrapText="1"/>
    </xf>
    <xf numFmtId="0" fontId="22" fillId="0" borderId="8" xfId="0" applyFont="1" applyBorder="1" applyAlignment="1">
      <alignment horizontal="left" vertical="center" wrapText="1"/>
    </xf>
    <xf numFmtId="0" fontId="26" fillId="0" borderId="9" xfId="0" applyFont="1" applyBorder="1" applyAlignment="1">
      <alignment horizontal="left" vertical="center" wrapText="1"/>
    </xf>
    <xf numFmtId="0" fontId="26" fillId="0" borderId="0" xfId="0" applyFont="1" applyAlignment="1">
      <alignment horizontal="left" vertical="center" wrapText="1"/>
    </xf>
    <xf numFmtId="0" fontId="22" fillId="0" borderId="10" xfId="0" applyFont="1" applyBorder="1" applyAlignment="1">
      <alignment horizontal="left" vertical="center" wrapText="1"/>
    </xf>
    <xf numFmtId="0" fontId="22" fillId="0" borderId="13" xfId="0" applyFont="1" applyBorder="1" applyAlignment="1">
      <alignment horizontal="left" vertical="center" wrapText="1"/>
    </xf>
    <xf numFmtId="0" fontId="22" fillId="0" borderId="11" xfId="0" applyFont="1" applyBorder="1" applyAlignment="1">
      <alignment horizontal="left" vertical="center" wrapText="1"/>
    </xf>
    <xf numFmtId="0" fontId="23" fillId="0" borderId="3" xfId="0" applyFont="1" applyBorder="1" applyAlignment="1">
      <alignment horizontal="center" vertical="center" wrapText="1"/>
    </xf>
    <xf numFmtId="0" fontId="21" fillId="0" borderId="9" xfId="0" applyFont="1" applyBorder="1" applyAlignment="1">
      <alignment horizontal="left" vertical="center" wrapText="1"/>
    </xf>
    <xf numFmtId="0" fontId="21" fillId="0" borderId="9" xfId="0" applyFont="1" applyBorder="1" applyAlignment="1">
      <alignment vertical="center" wrapText="1"/>
    </xf>
    <xf numFmtId="0" fontId="25" fillId="2" borderId="4" xfId="0" applyFont="1" applyFill="1" applyBorder="1" applyAlignment="1">
      <alignment horizontal="left" vertical="center"/>
    </xf>
    <xf numFmtId="0" fontId="21" fillId="0" borderId="5" xfId="0" applyFont="1" applyBorder="1" applyAlignment="1">
      <alignment wrapText="1"/>
    </xf>
    <xf numFmtId="0" fontId="21" fillId="0" borderId="4" xfId="0" applyFont="1" applyBorder="1" applyAlignment="1">
      <alignment horizontal="center" wrapText="1"/>
    </xf>
    <xf numFmtId="0" fontId="27" fillId="0" borderId="5" xfId="0" applyFont="1" applyBorder="1" applyAlignment="1">
      <alignment vertical="center" wrapText="1"/>
    </xf>
    <xf numFmtId="0" fontId="27" fillId="0" borderId="6" xfId="0" applyFont="1" applyBorder="1" applyAlignment="1">
      <alignment vertical="center" wrapText="1"/>
    </xf>
    <xf numFmtId="0" fontId="27" fillId="0" borderId="5" xfId="0" applyFont="1" applyBorder="1" applyAlignment="1">
      <alignment wrapText="1"/>
    </xf>
    <xf numFmtId="0" fontId="27" fillId="0" borderId="6" xfId="0" applyFont="1" applyBorder="1" applyAlignment="1">
      <alignment wrapText="1"/>
    </xf>
    <xf numFmtId="0" fontId="21" fillId="0" borderId="0" xfId="0" applyFont="1" applyAlignment="1">
      <alignment horizontal="center" vertical="center" wrapText="1"/>
    </xf>
    <xf numFmtId="0" fontId="21" fillId="2" borderId="9" xfId="0" applyFont="1" applyFill="1" applyBorder="1" applyAlignment="1">
      <alignment vertical="center" wrapText="1"/>
    </xf>
    <xf numFmtId="0" fontId="23" fillId="3" borderId="5" xfId="0" applyFont="1" applyFill="1" applyBorder="1" applyAlignment="1">
      <alignment horizontal="center" vertical="center" wrapText="1"/>
    </xf>
    <xf numFmtId="0" fontId="23" fillId="3" borderId="28" xfId="0" applyFont="1" applyFill="1" applyBorder="1" applyAlignment="1">
      <alignment horizontal="center" vertical="center" wrapText="1"/>
    </xf>
    <xf numFmtId="0" fontId="21" fillId="0" borderId="17" xfId="0" applyFont="1" applyBorder="1" applyAlignment="1">
      <alignment horizontal="center" vertical="center" wrapText="1"/>
    </xf>
    <xf numFmtId="0" fontId="21" fillId="0" borderId="18"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28" xfId="0" applyFont="1" applyBorder="1" applyAlignment="1">
      <alignment horizontal="left" vertical="center"/>
    </xf>
    <xf numFmtId="0" fontId="23" fillId="0" borderId="4" xfId="0" applyFont="1" applyBorder="1" applyAlignment="1">
      <alignment horizontal="center" wrapText="1"/>
    </xf>
    <xf numFmtId="0" fontId="1" fillId="2" borderId="0" xfId="0" applyFont="1" applyFill="1" applyAlignment="1">
      <alignment horizontal="center" vertical="center" wrapText="1"/>
    </xf>
    <xf numFmtId="0" fontId="8" fillId="0" borderId="4" xfId="0" applyFont="1" applyBorder="1" applyAlignment="1">
      <alignment wrapText="1"/>
    </xf>
    <xf numFmtId="164" fontId="16" fillId="0" borderId="4" xfId="0" applyNumberFormat="1" applyFont="1" applyBorder="1" applyAlignment="1">
      <alignment horizontal="center" vertical="center" wrapText="1"/>
    </xf>
    <xf numFmtId="0" fontId="16" fillId="4" borderId="4" xfId="0" applyFont="1" applyFill="1" applyBorder="1" applyAlignment="1">
      <alignment horizontal="center" vertical="center" wrapText="1"/>
    </xf>
    <xf numFmtId="0" fontId="15" fillId="2" borderId="4" xfId="0" applyFont="1" applyFill="1" applyBorder="1" applyAlignment="1">
      <alignment horizontal="left" vertical="center" wrapText="1"/>
    </xf>
    <xf numFmtId="0" fontId="17" fillId="3" borderId="4" xfId="0" applyFont="1" applyFill="1" applyBorder="1" applyAlignment="1">
      <alignment horizontal="center" vertical="center"/>
    </xf>
    <xf numFmtId="0" fontId="18" fillId="0" borderId="4" xfId="0" applyFont="1" applyBorder="1" applyAlignment="1">
      <alignment horizontal="center" vertical="center"/>
    </xf>
    <xf numFmtId="0" fontId="8" fillId="0" borderId="3" xfId="0" applyFont="1" applyBorder="1" applyAlignment="1">
      <alignment vertical="center"/>
    </xf>
    <xf numFmtId="0" fontId="1" fillId="0" borderId="3" xfId="0" applyFont="1" applyBorder="1" applyAlignment="1">
      <alignment horizontal="center" vertical="center"/>
    </xf>
    <xf numFmtId="0" fontId="8" fillId="0" borderId="16" xfId="0" applyFont="1" applyBorder="1" applyAlignment="1">
      <alignment vertical="center"/>
    </xf>
    <xf numFmtId="0" fontId="10" fillId="0" borderId="16" xfId="0" applyFont="1" applyBorder="1"/>
    <xf numFmtId="0" fontId="1" fillId="0" borderId="16"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26B-4400-AD0E-F5117E69222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26B-4400-AD0E-F5117E69222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26B-4400-AD0E-F5117E69222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0-48E6-4B63-BB2E-9DFEA63FCC7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Accesibilidad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15-4AA7-8289-EE721D411C6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15-4AA7-8289-EE721D411C6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15-4AA7-8289-EE721D411C6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6-1A15-4AA7-8289-EE721D411C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41.jpeg"/><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9525</xdr:colOff>
      <xdr:row>13</xdr:row>
      <xdr:rowOff>95250</xdr:rowOff>
    </xdr:from>
    <xdr:to>
      <xdr:col>4</xdr:col>
      <xdr:colOff>2171700</xdr:colOff>
      <xdr:row>15</xdr:row>
      <xdr:rowOff>95250</xdr:rowOff>
    </xdr:to>
    <xdr:graphicFrame macro="">
      <xdr:nvGraphicFramePr>
        <xdr:cNvPr id="2" name="Gráfico 1">
          <a:extLst>
            <a:ext uri="{FF2B5EF4-FFF2-40B4-BE49-F238E27FC236}">
              <a16:creationId xmlns:a16="http://schemas.microsoft.com/office/drawing/2014/main" id="{7761D704-2716-B030-A66C-0C1308163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178</xdr:row>
      <xdr:rowOff>28575</xdr:rowOff>
    </xdr:from>
    <xdr:to>
      <xdr:col>4</xdr:col>
      <xdr:colOff>714375</xdr:colOff>
      <xdr:row>181</xdr:row>
      <xdr:rowOff>504825</xdr:rowOff>
    </xdr:to>
    <xdr:graphicFrame macro="">
      <xdr:nvGraphicFramePr>
        <xdr:cNvPr id="4" name="Gráfico 3">
          <a:extLst>
            <a:ext uri="{FF2B5EF4-FFF2-40B4-BE49-F238E27FC236}">
              <a16:creationId xmlns:a16="http://schemas.microsoft.com/office/drawing/2014/main" id="{E47CF886-BC42-4475-B844-A7D7998E7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232636</xdr:colOff>
      <xdr:row>3</xdr:row>
      <xdr:rowOff>123825</xdr:rowOff>
    </xdr:to>
    <xdr:pic>
      <xdr:nvPicPr>
        <xdr:cNvPr id="2" name="Imagen 1">
          <a:extLst>
            <a:ext uri="{FF2B5EF4-FFF2-40B4-BE49-F238E27FC236}">
              <a16:creationId xmlns:a16="http://schemas.microsoft.com/office/drawing/2014/main" id="{396D771A-29E6-2244-BC46-BD22B04F8572}"/>
            </a:ext>
          </a:extLst>
        </xdr:cNvPr>
        <xdr:cNvPicPr>
          <a:picLocks noChangeAspect="1"/>
        </xdr:cNvPicPr>
      </xdr:nvPicPr>
      <xdr:blipFill>
        <a:blip xmlns:r="http://schemas.openxmlformats.org/officeDocument/2006/relationships" r:embed="rId2"/>
        <a:stretch>
          <a:fillRect/>
        </a:stretch>
      </xdr:blipFill>
      <xdr:spPr>
        <a:xfrm>
          <a:off x="0" y="0"/>
          <a:ext cx="3099661" cy="6858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21</v>
    <v>4</v>
  </rv>
  <rv s="0">
    <v>7</v>
    <v>4</v>
  </rv>
  <rv s="0">
    <v>22</v>
    <v>4</v>
  </rv>
  <rv s="0">
    <v>14</v>
    <v>4</v>
  </rv>
  <rv s="0">
    <v>15</v>
    <v>4</v>
  </rv>
  <rv s="0">
    <v>8</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election activeCell="G13" sqref="G13"/>
    </sheetView>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54" t="s">
        <v>3</v>
      </c>
      <c r="T1" s="60"/>
      <c r="U1" s="60"/>
      <c r="V1" s="60"/>
      <c r="W1" s="154" t="s">
        <v>4</v>
      </c>
      <c r="X1" s="60"/>
      <c r="Y1" s="60"/>
      <c r="Z1" s="60"/>
      <c r="AA1" s="154" t="s">
        <v>5</v>
      </c>
      <c r="AB1" s="60"/>
      <c r="AC1" s="60"/>
      <c r="AD1" s="60"/>
      <c r="AE1" s="154" t="s">
        <v>6</v>
      </c>
      <c r="AF1" s="60"/>
      <c r="AG1" s="60"/>
      <c r="AH1" s="60"/>
      <c r="AI1" s="154" t="s">
        <v>7</v>
      </c>
      <c r="AJ1" s="60"/>
      <c r="AK1" s="60"/>
      <c r="AL1" s="60"/>
      <c r="AM1" s="154" t="s">
        <v>8</v>
      </c>
      <c r="AN1" s="60"/>
      <c r="AO1" s="60"/>
      <c r="AP1" s="60"/>
      <c r="AQ1" s="4"/>
      <c r="AR1" s="154" t="s">
        <v>9</v>
      </c>
      <c r="AS1" s="60"/>
      <c r="AT1" s="60"/>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54" t="s">
        <v>18</v>
      </c>
      <c r="AS2" s="60"/>
      <c r="AT2" s="60"/>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54" t="s">
        <v>25</v>
      </c>
      <c r="AS3" s="60"/>
      <c r="AT3" s="60"/>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54" t="s">
        <v>29</v>
      </c>
      <c r="AS4" s="60"/>
      <c r="AT4" s="60"/>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54" t="s">
        <v>34</v>
      </c>
      <c r="AS5" s="60"/>
      <c r="AT5" s="60"/>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54" t="s">
        <v>37</v>
      </c>
      <c r="AS6" s="60"/>
      <c r="AT6" s="60"/>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2.75">
      <c r="A10" s="1" t="s">
        <v>38</v>
      </c>
      <c r="B10" s="1" t="s">
        <v>39</v>
      </c>
      <c r="D10" s="33"/>
      <c r="E10" s="36"/>
      <c r="F10" s="36"/>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108" customHeight="1">
      <c r="A11" s="29" t="s">
        <v>40</v>
      </c>
      <c r="B11" s="2" t="e" vm="1">
        <v>#VALUE!</v>
      </c>
      <c r="D11" s="40" t="s">
        <v>273</v>
      </c>
      <c r="E11" s="36">
        <f>COUNTIF('2. EVALUACIÓN DE ACCESIBILIDAD'!M17:M177,"Sí")</f>
        <v>0</v>
      </c>
      <c r="F11" s="36"/>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108" customHeight="1">
      <c r="A12" s="29" t="s">
        <v>41</v>
      </c>
      <c r="B12" s="2" t="e" vm="2">
        <v>#VALUE!</v>
      </c>
      <c r="D12" s="40" t="s">
        <v>274</v>
      </c>
      <c r="E12" s="36">
        <f>COUNTIF('2. EVALUACIÓN DE ACCESIBILIDAD'!M17:M177,"No")</f>
        <v>0</v>
      </c>
      <c r="F12" s="36"/>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108" customHeight="1">
      <c r="A13" s="29" t="s">
        <v>42</v>
      </c>
      <c r="B13" s="2" t="e" vm="3">
        <v>#VALUE!</v>
      </c>
      <c r="D13" t="s">
        <v>275</v>
      </c>
      <c r="E13">
        <f>COUNTIF('2. EVALUACIÓN DE ACCESIBILIDAD'!M17:M177,"Parcial")</f>
        <v>0</v>
      </c>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108" customHeight="1">
      <c r="A14" s="29" t="s">
        <v>43</v>
      </c>
      <c r="B14" s="2" t="e" vm="4">
        <v>#VALUE!</v>
      </c>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108" customHeight="1">
      <c r="A15" s="29" t="s">
        <v>44</v>
      </c>
      <c r="B15" s="2" t="e" vm="5">
        <v>#VALUE!</v>
      </c>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108" customHeight="1">
      <c r="A16" s="29" t="s">
        <v>45</v>
      </c>
      <c r="B16" s="2" t="e" vm="6">
        <v>#VALUE!</v>
      </c>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108" customHeight="1">
      <c r="A17" s="29" t="s">
        <v>46</v>
      </c>
      <c r="B17" s="2" t="e" vm="7">
        <v>#VALUE!</v>
      </c>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108" customHeight="1">
      <c r="A18" s="29" t="s">
        <v>47</v>
      </c>
      <c r="B18" s="2" t="e" vm="8">
        <v>#VALUE!</v>
      </c>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108" customHeight="1">
      <c r="A19" s="29" t="s">
        <v>48</v>
      </c>
      <c r="B19" s="2" t="e" vm="9">
        <v>#VALUE!</v>
      </c>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108" customHeight="1">
      <c r="A20" s="29" t="s">
        <v>49</v>
      </c>
      <c r="B20" s="2" t="e" vm="10">
        <v>#VALUE!</v>
      </c>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108" customHeight="1">
      <c r="A21" s="29" t="s">
        <v>50</v>
      </c>
      <c r="B21" s="2" t="e" vm="11">
        <v>#VALUE!</v>
      </c>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108" customHeight="1">
      <c r="A22" s="29" t="s">
        <v>51</v>
      </c>
      <c r="B22" s="2" t="e" vm="12">
        <v>#VALUE!</v>
      </c>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108" customHeight="1">
      <c r="A23" s="29" t="s">
        <v>52</v>
      </c>
      <c r="B23" s="2" t="e" vm="13">
        <v>#VALUE!</v>
      </c>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8" customHeight="1">
      <c r="A24" s="29" t="s">
        <v>53</v>
      </c>
      <c r="B24" s="2" t="e" vm="14">
        <v>#VALUE!</v>
      </c>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108" customHeight="1">
      <c r="A25" s="29" t="s">
        <v>54</v>
      </c>
      <c r="B25" s="2" t="e" vm="15">
        <v>#VALUE!</v>
      </c>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108" customHeight="1">
      <c r="A26" s="29" t="s">
        <v>55</v>
      </c>
      <c r="B26" s="2" t="e" vm="16">
        <v>#VALUE!</v>
      </c>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108" customHeight="1">
      <c r="A27" s="29" t="s">
        <v>56</v>
      </c>
      <c r="B27" s="2" t="e" vm="17">
        <v>#VALUE!</v>
      </c>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08" customHeight="1">
      <c r="A28" s="29" t="s">
        <v>57</v>
      </c>
      <c r="B28" s="2" t="e" vm="18">
        <v>#VALUE!</v>
      </c>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108" customHeight="1">
      <c r="A29" s="29" t="s">
        <v>58</v>
      </c>
      <c r="B29" s="2" t="e" vm="19">
        <v>#VALUE!</v>
      </c>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108" customHeight="1">
      <c r="A30" s="29" t="s">
        <v>59</v>
      </c>
      <c r="B30" s="2" t="e" vm="20">
        <v>#VALUE!</v>
      </c>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108" customHeight="1">
      <c r="A31" s="29" t="s">
        <v>60</v>
      </c>
      <c r="B31" s="2" t="e" vm="21">
        <v>#VALUE!</v>
      </c>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108" customHeight="1">
      <c r="A32" s="29" t="s">
        <v>61</v>
      </c>
      <c r="B32" s="2" t="e" vm="22">
        <v>#VALUE!</v>
      </c>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108" customHeight="1">
      <c r="A33" s="29" t="s">
        <v>62</v>
      </c>
      <c r="B33" s="2" t="e" vm="23">
        <v>#VALUE!</v>
      </c>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108" customHeight="1">
      <c r="A34" s="29" t="s">
        <v>63</v>
      </c>
      <c r="B34" s="2" t="e" vm="24">
        <v>#VALUE!</v>
      </c>
    </row>
    <row r="35" spans="1:67" ht="108" customHeight="1">
      <c r="A35" s="29" t="s">
        <v>64</v>
      </c>
      <c r="B35" s="2" t="e" vm="25">
        <v>#VALUE!</v>
      </c>
    </row>
    <row r="36" spans="1:67" ht="108" customHeight="1">
      <c r="A36" s="29" t="s">
        <v>65</v>
      </c>
      <c r="B36" s="2" t="e" vm="26">
        <v>#VALUE!</v>
      </c>
    </row>
    <row r="37" spans="1:67" ht="108" customHeight="1">
      <c r="A37" s="29" t="s">
        <v>66</v>
      </c>
      <c r="B37" s="2" t="e" vm="27">
        <v>#VALUE!</v>
      </c>
      <c r="C37" s="15"/>
      <c r="D37" s="15"/>
      <c r="E37" s="15"/>
      <c r="F37" s="15"/>
    </row>
    <row r="38" spans="1:67" ht="108" customHeight="1">
      <c r="A38" s="37" t="s">
        <v>67</v>
      </c>
      <c r="B38" s="2" t="e" vm="28">
        <v>#VALUE!</v>
      </c>
      <c r="C38" s="15"/>
      <c r="D38" s="15"/>
      <c r="E38" s="15"/>
      <c r="F38" s="16"/>
    </row>
    <row r="39" spans="1:67" ht="108" customHeight="1">
      <c r="A39" s="37" t="s">
        <v>68</v>
      </c>
      <c r="B39" s="5" t="e" vm="29">
        <v>#VALUE!</v>
      </c>
      <c r="C39" s="18"/>
      <c r="D39" s="18"/>
      <c r="E39" s="18"/>
      <c r="F39" s="18"/>
    </row>
    <row r="40" spans="1:67" ht="108" customHeight="1">
      <c r="A40" s="17" t="s">
        <v>69</v>
      </c>
      <c r="B40" s="5" t="e" vm="30">
        <v>#VALUE!</v>
      </c>
      <c r="C40" s="18"/>
      <c r="D40" s="18"/>
      <c r="E40" s="18"/>
      <c r="F40" s="18"/>
    </row>
    <row r="41" spans="1:67" ht="108" customHeight="1">
      <c r="A41" s="17" t="s">
        <v>70</v>
      </c>
      <c r="B41" s="5" t="e" vm="31">
        <v>#VALUE!</v>
      </c>
      <c r="C41" s="18"/>
      <c r="D41" s="18"/>
      <c r="E41" s="18"/>
      <c r="F41" s="18"/>
    </row>
    <row r="42" spans="1:67" ht="108" customHeight="1">
      <c r="A42" s="17" t="s">
        <v>71</v>
      </c>
      <c r="B42" s="5" t="e" vm="32">
        <v>#VALUE!</v>
      </c>
      <c r="C42" s="18"/>
      <c r="D42" s="18"/>
      <c r="E42" s="18"/>
      <c r="F42" s="18"/>
    </row>
    <row r="43" spans="1:67" ht="108" customHeight="1">
      <c r="A43" s="38" t="s">
        <v>72</v>
      </c>
      <c r="B43" s="5" t="e" vm="33">
        <v>#VALUE!</v>
      </c>
      <c r="C43" s="18"/>
      <c r="D43" s="18"/>
      <c r="E43" s="18"/>
      <c r="F43" s="18"/>
    </row>
    <row r="44" spans="1:67" ht="108" customHeight="1">
      <c r="A44" s="17" t="s">
        <v>73</v>
      </c>
      <c r="B44" s="5" t="e" vm="34">
        <v>#VALUE!</v>
      </c>
      <c r="C44" s="18"/>
      <c r="D44" s="18"/>
      <c r="E44" s="18"/>
      <c r="F44" s="18"/>
    </row>
    <row r="45" spans="1:67" ht="108" customHeight="1">
      <c r="A45" s="17" t="s">
        <v>74</v>
      </c>
      <c r="B45" s="5" t="e" vm="35">
        <v>#VALUE!</v>
      </c>
      <c r="C45" s="18"/>
      <c r="D45" s="18"/>
      <c r="E45" s="18"/>
      <c r="F45" s="18"/>
    </row>
    <row r="46" spans="1:67" ht="108" customHeight="1">
      <c r="A46" s="17" t="s">
        <v>75</v>
      </c>
      <c r="B46" s="5" t="e" vm="36">
        <v>#VALUE!</v>
      </c>
      <c r="C46" s="18"/>
      <c r="D46" s="18"/>
      <c r="E46" s="18"/>
      <c r="F46" s="18"/>
    </row>
    <row r="47" spans="1:67" ht="108" customHeight="1">
      <c r="A47" s="17" t="s">
        <v>76</v>
      </c>
      <c r="B47" s="5" t="e" vm="37">
        <v>#VALUE!</v>
      </c>
      <c r="C47" s="18"/>
      <c r="D47" s="18"/>
      <c r="E47" s="18"/>
      <c r="F47" s="18"/>
    </row>
    <row r="48" spans="1:67" ht="108" customHeight="1">
      <c r="A48" s="17" t="s">
        <v>77</v>
      </c>
      <c r="B48" s="5" t="e" vm="38">
        <v>#VALUE!</v>
      </c>
      <c r="C48" s="18"/>
      <c r="D48" s="18"/>
      <c r="E48" s="18"/>
      <c r="F48" s="18"/>
    </row>
    <row r="49" spans="1:6" ht="108" customHeight="1">
      <c r="A49" s="17" t="s">
        <v>78</v>
      </c>
      <c r="B49" s="5" t="e" vm="39">
        <v>#VALUE!</v>
      </c>
      <c r="C49" s="18"/>
      <c r="D49" s="18"/>
      <c r="E49" s="18"/>
      <c r="F49" s="18"/>
    </row>
    <row r="51" spans="1:6" ht="14.25">
      <c r="A51" s="19" t="s">
        <v>79</v>
      </c>
      <c r="B51" s="19" t="s">
        <v>80</v>
      </c>
    </row>
    <row r="52" spans="1:6" ht="306">
      <c r="A52" s="20" t="s">
        <v>81</v>
      </c>
      <c r="B52" s="21" t="s">
        <v>82</v>
      </c>
    </row>
    <row r="53" spans="1:6" ht="242.25">
      <c r="A53" s="20" t="s">
        <v>83</v>
      </c>
      <c r="B53" s="21" t="s">
        <v>84</v>
      </c>
    </row>
    <row r="54" spans="1:6" ht="395.25">
      <c r="A54" s="20" t="s">
        <v>85</v>
      </c>
      <c r="B54" s="21" t="s">
        <v>86</v>
      </c>
    </row>
    <row r="55" spans="1:6" ht="306">
      <c r="A55" s="20" t="s">
        <v>87</v>
      </c>
      <c r="B55" s="21" t="s">
        <v>88</v>
      </c>
    </row>
    <row r="56" spans="1:6" ht="409.5">
      <c r="A56" s="22" t="s">
        <v>89</v>
      </c>
      <c r="B56" s="21" t="s">
        <v>90</v>
      </c>
    </row>
    <row r="57" spans="1:6" ht="409.5">
      <c r="A57" s="23" t="s">
        <v>91</v>
      </c>
      <c r="B57" s="21" t="s">
        <v>92</v>
      </c>
    </row>
    <row r="58" spans="1:6" ht="331.5">
      <c r="A58" s="20" t="s">
        <v>93</v>
      </c>
      <c r="B58" s="21" t="s">
        <v>94</v>
      </c>
    </row>
    <row r="59" spans="1:6" ht="178.5">
      <c r="A59" s="20" t="s">
        <v>95</v>
      </c>
      <c r="B59" s="21" t="s">
        <v>96</v>
      </c>
    </row>
    <row r="60" spans="1:6" ht="357">
      <c r="A60" s="20" t="s">
        <v>97</v>
      </c>
      <c r="B60" s="21" t="s">
        <v>98</v>
      </c>
    </row>
    <row r="61" spans="1:6" ht="273.75" customHeight="1">
      <c r="A61" s="24" t="s">
        <v>99</v>
      </c>
      <c r="B61" s="25" t="s">
        <v>100</v>
      </c>
    </row>
    <row r="62" spans="1:6" ht="147.75" customHeight="1">
      <c r="A62" s="24" t="s">
        <v>101</v>
      </c>
      <c r="B62" s="26" t="s">
        <v>102</v>
      </c>
    </row>
    <row r="63" spans="1:6" ht="161.25" customHeight="1">
      <c r="A63" s="24" t="s">
        <v>103</v>
      </c>
      <c r="B63" s="26" t="s">
        <v>104</v>
      </c>
    </row>
    <row r="64" spans="1:6" ht="166.5" customHeight="1">
      <c r="A64" s="24" t="s">
        <v>105</v>
      </c>
      <c r="B64" s="26" t="s">
        <v>106</v>
      </c>
    </row>
    <row r="65" spans="1:4" ht="166.5" customHeight="1">
      <c r="A65" s="24" t="s">
        <v>107</v>
      </c>
      <c r="B65" s="26" t="s">
        <v>108</v>
      </c>
    </row>
    <row r="66" spans="1:4" ht="166.5" customHeight="1">
      <c r="A66" s="24" t="s">
        <v>109</v>
      </c>
      <c r="B66" s="26" t="s">
        <v>110</v>
      </c>
    </row>
    <row r="67" spans="1:4" ht="166.5" customHeight="1">
      <c r="A67" s="24" t="s">
        <v>111</v>
      </c>
      <c r="B67" s="26" t="s">
        <v>112</v>
      </c>
    </row>
    <row r="68" spans="1:4" ht="166.5" customHeight="1">
      <c r="A68" s="24" t="s">
        <v>113</v>
      </c>
      <c r="B68" s="25" t="s">
        <v>114</v>
      </c>
    </row>
    <row r="69" spans="1:4" ht="166.5" customHeight="1">
      <c r="A69" s="24" t="s">
        <v>115</v>
      </c>
      <c r="B69" s="25" t="s">
        <v>116</v>
      </c>
    </row>
    <row r="70" spans="1:4" ht="166.5" customHeight="1">
      <c r="A70" s="24" t="s">
        <v>117</v>
      </c>
      <c r="B70" s="25" t="s">
        <v>118</v>
      </c>
    </row>
    <row r="71" spans="1:4" ht="166.5" customHeight="1">
      <c r="A71" s="24" t="s">
        <v>119</v>
      </c>
      <c r="B71" s="25" t="s">
        <v>120</v>
      </c>
    </row>
    <row r="72" spans="1:4" ht="166.5" customHeight="1">
      <c r="A72" s="24" t="s">
        <v>121</v>
      </c>
      <c r="B72" s="25" t="s">
        <v>122</v>
      </c>
    </row>
    <row r="73" spans="1:4" ht="166.5" customHeight="1">
      <c r="A73" s="24" t="s">
        <v>123</v>
      </c>
      <c r="B73" s="25" t="s">
        <v>124</v>
      </c>
    </row>
    <row r="75" spans="1:4" ht="14.25">
      <c r="A75" s="27" t="s">
        <v>125</v>
      </c>
      <c r="B75" s="155" t="s">
        <v>126</v>
      </c>
      <c r="C75" s="73"/>
      <c r="D75" s="71"/>
    </row>
    <row r="76" spans="1:4" ht="25.5">
      <c r="A76" s="28" t="s">
        <v>127</v>
      </c>
      <c r="B76" s="155" t="s">
        <v>128</v>
      </c>
      <c r="C76" s="73"/>
      <c r="D76" s="71"/>
    </row>
    <row r="77" spans="1:4" ht="12.75">
      <c r="A77" s="29" t="s">
        <v>129</v>
      </c>
      <c r="B77" s="155" t="s">
        <v>130</v>
      </c>
      <c r="C77" s="73"/>
      <c r="D77" s="71"/>
    </row>
    <row r="82" spans="1:5" ht="17.25">
      <c r="A82" s="3" t="str">
        <f ca="1">IFERROR(__xludf.DUMMYFUNCTION("IMPORTRANGE(""https://docs.google.com/spreadsheets/d/1OG8OlozND839R5savNsWzeivYu4QVdLazlWgivjPDhA"",""BD!$A$2:$A$5000"")")," BAKER MCKENZIE")</f>
        <v xml:space="preserve"> BAKER MCKENZIE</v>
      </c>
      <c r="B82" s="30"/>
      <c r="D82" s="31"/>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131</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2"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2"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2"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V216"/>
  <sheetViews>
    <sheetView showGridLines="0" tabSelected="1" topLeftCell="A22" workbookViewId="0">
      <selection activeCell="Q37" sqref="Q37:V37"/>
    </sheetView>
  </sheetViews>
  <sheetFormatPr baseColWidth="10" defaultColWidth="12.5703125" defaultRowHeight="15.75" customHeight="1"/>
  <cols>
    <col min="1" max="2" width="9.7109375" customWidth="1"/>
    <col min="3" max="3" width="5.140625" customWidth="1"/>
    <col min="4" max="4" width="7.42578125" customWidth="1"/>
    <col min="5" max="5" width="11" customWidth="1"/>
    <col min="6" max="6" width="3.7109375" customWidth="1"/>
    <col min="7" max="7" width="9.42578125" customWidth="1"/>
    <col min="8" max="8" width="2.85546875" customWidth="1"/>
    <col min="9" max="11" width="5.140625" customWidth="1"/>
    <col min="12" max="12" width="7.28515625" customWidth="1"/>
    <col min="13" max="13" width="9.28515625" customWidth="1"/>
    <col min="14" max="14" width="8" customWidth="1"/>
    <col min="15" max="15" width="3" customWidth="1"/>
    <col min="16" max="16" width="7.140625" customWidth="1"/>
    <col min="17" max="17" width="5.42578125" customWidth="1"/>
    <col min="18" max="18" width="3.42578125" customWidth="1"/>
    <col min="19" max="19" width="11" customWidth="1"/>
    <col min="20" max="20" width="8.42578125" customWidth="1"/>
    <col min="21" max="21" width="10.28515625" customWidth="1"/>
    <col min="22" max="22" width="16.140625" customWidth="1"/>
  </cols>
  <sheetData>
    <row r="1" spans="1:22" ht="18.75" customHeight="1">
      <c r="A1" s="77"/>
      <c r="B1" s="57"/>
      <c r="C1" s="57"/>
      <c r="D1" s="57"/>
      <c r="E1" s="57"/>
      <c r="F1" s="58"/>
      <c r="G1" s="56" t="s">
        <v>148</v>
      </c>
      <c r="H1" s="57"/>
      <c r="I1" s="57"/>
      <c r="J1" s="57"/>
      <c r="K1" s="57"/>
      <c r="L1" s="57"/>
      <c r="M1" s="57"/>
      <c r="N1" s="57"/>
      <c r="O1" s="57"/>
      <c r="P1" s="57"/>
      <c r="Q1" s="57"/>
      <c r="R1" s="57"/>
      <c r="S1" s="58"/>
      <c r="T1" s="70" t="s">
        <v>132</v>
      </c>
      <c r="U1" s="71"/>
      <c r="V1" s="47" t="s">
        <v>272</v>
      </c>
    </row>
    <row r="2" spans="1:22" ht="12.75">
      <c r="A2" s="59"/>
      <c r="B2" s="60"/>
      <c r="C2" s="60"/>
      <c r="D2" s="60"/>
      <c r="E2" s="60"/>
      <c r="F2" s="61"/>
      <c r="G2" s="59"/>
      <c r="H2" s="60"/>
      <c r="I2" s="60"/>
      <c r="J2" s="60"/>
      <c r="K2" s="60"/>
      <c r="L2" s="60"/>
      <c r="M2" s="60"/>
      <c r="N2" s="60"/>
      <c r="O2" s="60"/>
      <c r="P2" s="60"/>
      <c r="Q2" s="60"/>
      <c r="R2" s="60"/>
      <c r="S2" s="61"/>
      <c r="T2" s="70" t="s">
        <v>149</v>
      </c>
      <c r="U2" s="71"/>
      <c r="V2" s="48" t="s">
        <v>150</v>
      </c>
    </row>
    <row r="3" spans="1:22" ht="12.75">
      <c r="A3" s="59"/>
      <c r="B3" s="60"/>
      <c r="C3" s="60"/>
      <c r="D3" s="60"/>
      <c r="E3" s="60"/>
      <c r="F3" s="61"/>
      <c r="G3" s="59"/>
      <c r="H3" s="60"/>
      <c r="I3" s="60"/>
      <c r="J3" s="60"/>
      <c r="K3" s="60"/>
      <c r="L3" s="60"/>
      <c r="M3" s="60"/>
      <c r="N3" s="60"/>
      <c r="O3" s="60"/>
      <c r="P3" s="60"/>
      <c r="Q3" s="60"/>
      <c r="R3" s="60"/>
      <c r="S3" s="61"/>
      <c r="T3" s="70" t="s">
        <v>151</v>
      </c>
      <c r="U3" s="71"/>
      <c r="V3" s="49">
        <v>45322</v>
      </c>
    </row>
    <row r="4" spans="1:22" ht="12.75">
      <c r="A4" s="62"/>
      <c r="B4" s="63"/>
      <c r="C4" s="63"/>
      <c r="D4" s="63"/>
      <c r="E4" s="63"/>
      <c r="F4" s="64"/>
      <c r="G4" s="62"/>
      <c r="H4" s="63"/>
      <c r="I4" s="63"/>
      <c r="J4" s="63"/>
      <c r="K4" s="63"/>
      <c r="L4" s="63"/>
      <c r="M4" s="63"/>
      <c r="N4" s="63"/>
      <c r="O4" s="63"/>
      <c r="P4" s="63"/>
      <c r="Q4" s="63"/>
      <c r="R4" s="63"/>
      <c r="S4" s="64"/>
      <c r="T4" s="72" t="s">
        <v>133</v>
      </c>
      <c r="U4" s="73"/>
      <c r="V4" s="71"/>
    </row>
    <row r="5" spans="1:22" ht="46.5" customHeight="1">
      <c r="A5" s="74" t="s">
        <v>276</v>
      </c>
      <c r="B5" s="67"/>
      <c r="C5" s="67"/>
      <c r="D5" s="67"/>
      <c r="E5" s="67"/>
      <c r="F5" s="67"/>
      <c r="G5" s="67"/>
      <c r="H5" s="67"/>
      <c r="I5" s="67"/>
      <c r="J5" s="67"/>
      <c r="K5" s="67"/>
      <c r="L5" s="67"/>
      <c r="M5" s="67"/>
      <c r="N5" s="67"/>
      <c r="O5" s="67"/>
      <c r="P5" s="67"/>
      <c r="Q5" s="67"/>
      <c r="R5" s="67"/>
      <c r="S5" s="67"/>
      <c r="T5" s="67"/>
      <c r="U5" s="67"/>
      <c r="V5" s="68"/>
    </row>
    <row r="6" spans="1:22">
      <c r="A6" s="75" t="s">
        <v>152</v>
      </c>
      <c r="B6" s="67"/>
      <c r="C6" s="67"/>
      <c r="D6" s="67"/>
      <c r="E6" s="67"/>
      <c r="F6" s="67"/>
      <c r="G6" s="67"/>
      <c r="H6" s="67"/>
      <c r="I6" s="67"/>
      <c r="J6" s="67"/>
      <c r="K6" s="67"/>
      <c r="L6" s="67"/>
      <c r="M6" s="67"/>
      <c r="N6" s="67"/>
      <c r="O6" s="67"/>
      <c r="P6" s="67"/>
      <c r="Q6" s="67"/>
      <c r="R6" s="67"/>
      <c r="S6" s="67"/>
      <c r="T6" s="67"/>
      <c r="U6" s="67"/>
      <c r="V6" s="68"/>
    </row>
    <row r="7" spans="1:22" ht="30" customHeight="1">
      <c r="A7" s="54" t="s">
        <v>134</v>
      </c>
      <c r="B7" s="55"/>
      <c r="C7" s="55"/>
      <c r="D7" s="76"/>
      <c r="E7" s="67"/>
      <c r="F7" s="67"/>
      <c r="G7" s="67"/>
      <c r="H7" s="67"/>
      <c r="I7" s="67"/>
      <c r="J7" s="67"/>
      <c r="K7" s="67"/>
      <c r="L7" s="68"/>
      <c r="M7" s="50" t="s">
        <v>135</v>
      </c>
      <c r="N7" s="51"/>
      <c r="O7" s="65"/>
      <c r="P7" s="50"/>
      <c r="Q7" s="67"/>
      <c r="R7" s="67"/>
      <c r="S7" s="67"/>
      <c r="T7" s="67"/>
      <c r="U7" s="67"/>
      <c r="V7" s="68"/>
    </row>
    <row r="8" spans="1:22" ht="30" customHeight="1">
      <c r="A8" s="54" t="s">
        <v>136</v>
      </c>
      <c r="B8" s="55"/>
      <c r="C8" s="55"/>
      <c r="D8" s="69"/>
      <c r="E8" s="67"/>
      <c r="F8" s="67"/>
      <c r="G8" s="67"/>
      <c r="H8" s="67"/>
      <c r="I8" s="67"/>
      <c r="J8" s="67"/>
      <c r="K8" s="67"/>
      <c r="L8" s="68"/>
      <c r="M8" s="50" t="s">
        <v>137</v>
      </c>
      <c r="N8" s="51"/>
      <c r="O8" s="65"/>
      <c r="P8" s="66"/>
      <c r="Q8" s="67"/>
      <c r="R8" s="67"/>
      <c r="S8" s="67"/>
      <c r="T8" s="67"/>
      <c r="U8" s="67"/>
      <c r="V8" s="68"/>
    </row>
    <row r="9" spans="1:22" ht="30" customHeight="1">
      <c r="A9" s="54" t="s">
        <v>138</v>
      </c>
      <c r="B9" s="55"/>
      <c r="C9" s="55"/>
      <c r="D9" s="69"/>
      <c r="E9" s="67"/>
      <c r="F9" s="67"/>
      <c r="G9" s="67"/>
      <c r="H9" s="67"/>
      <c r="I9" s="67"/>
      <c r="J9" s="67"/>
      <c r="K9" s="67"/>
      <c r="L9" s="68"/>
      <c r="M9" s="50" t="s">
        <v>139</v>
      </c>
      <c r="N9" s="51"/>
      <c r="O9" s="65"/>
      <c r="P9" s="66"/>
      <c r="Q9" s="67"/>
      <c r="R9" s="67"/>
      <c r="S9" s="67"/>
      <c r="T9" s="67"/>
      <c r="U9" s="67"/>
      <c r="V9" s="68"/>
    </row>
    <row r="10" spans="1:22" ht="47.25" customHeight="1">
      <c r="A10" s="50" t="s">
        <v>153</v>
      </c>
      <c r="B10" s="51"/>
      <c r="C10" s="51"/>
      <c r="D10" s="69"/>
      <c r="E10" s="67"/>
      <c r="F10" s="67"/>
      <c r="G10" s="67"/>
      <c r="H10" s="67"/>
      <c r="I10" s="67"/>
      <c r="J10" s="67"/>
      <c r="K10" s="67"/>
      <c r="L10" s="68"/>
      <c r="M10" s="50" t="s">
        <v>140</v>
      </c>
      <c r="N10" s="51"/>
      <c r="O10" s="65"/>
      <c r="P10" s="66"/>
      <c r="Q10" s="67"/>
      <c r="R10" s="67"/>
      <c r="S10" s="67"/>
      <c r="T10" s="67"/>
      <c r="U10" s="67"/>
      <c r="V10" s="68"/>
    </row>
    <row r="11" spans="1:22" ht="30" customHeight="1">
      <c r="A11" s="52" t="s">
        <v>141</v>
      </c>
      <c r="B11" s="53"/>
      <c r="C11" s="53"/>
      <c r="D11" s="69"/>
      <c r="E11" s="67"/>
      <c r="F11" s="67"/>
      <c r="G11" s="67"/>
      <c r="H11" s="67"/>
      <c r="I11" s="67"/>
      <c r="J11" s="67"/>
      <c r="K11" s="67"/>
      <c r="L11" s="68"/>
      <c r="M11" s="50" t="s">
        <v>142</v>
      </c>
      <c r="N11" s="51"/>
      <c r="O11" s="65"/>
      <c r="P11" s="66"/>
      <c r="Q11" s="67"/>
      <c r="R11" s="67"/>
      <c r="S11" s="67"/>
      <c r="T11" s="67"/>
      <c r="U11" s="67"/>
      <c r="V11" s="68"/>
    </row>
    <row r="12" spans="1:22" ht="47.25" customHeight="1">
      <c r="A12" s="50" t="s">
        <v>143</v>
      </c>
      <c r="B12" s="51"/>
      <c r="C12" s="51"/>
      <c r="D12" s="66"/>
      <c r="E12" s="67"/>
      <c r="F12" s="67"/>
      <c r="G12" s="67"/>
      <c r="H12" s="67"/>
      <c r="I12" s="67"/>
      <c r="J12" s="67"/>
      <c r="K12" s="67"/>
      <c r="L12" s="68"/>
      <c r="M12" s="50" t="s">
        <v>144</v>
      </c>
      <c r="N12" s="51"/>
      <c r="O12" s="65"/>
      <c r="P12" s="66"/>
      <c r="Q12" s="67"/>
      <c r="R12" s="67"/>
      <c r="S12" s="67"/>
      <c r="T12" s="67"/>
      <c r="U12" s="67"/>
      <c r="V12" s="68"/>
    </row>
    <row r="13" spans="1:22" ht="30" customHeight="1">
      <c r="A13" s="54" t="s">
        <v>154</v>
      </c>
      <c r="B13" s="55"/>
      <c r="C13" s="55"/>
      <c r="D13" s="69"/>
      <c r="E13" s="67"/>
      <c r="F13" s="67"/>
      <c r="G13" s="67"/>
      <c r="H13" s="67"/>
      <c r="I13" s="67"/>
      <c r="J13" s="67"/>
      <c r="K13" s="67"/>
      <c r="L13" s="68"/>
      <c r="M13" s="50" t="s">
        <v>145</v>
      </c>
      <c r="N13" s="51"/>
      <c r="O13" s="65"/>
      <c r="P13" s="66"/>
      <c r="Q13" s="67"/>
      <c r="R13" s="67"/>
      <c r="S13" s="67"/>
      <c r="T13" s="67"/>
      <c r="U13" s="67"/>
      <c r="V13" s="68"/>
    </row>
    <row r="14" spans="1:22" ht="12.75" customHeight="1">
      <c r="A14" s="78" t="s">
        <v>155</v>
      </c>
      <c r="B14" s="67"/>
      <c r="C14" s="67"/>
      <c r="D14" s="67"/>
      <c r="E14" s="67"/>
      <c r="F14" s="67"/>
      <c r="G14" s="67"/>
      <c r="H14" s="67"/>
      <c r="I14" s="67"/>
      <c r="J14" s="67"/>
      <c r="K14" s="67"/>
      <c r="L14" s="67"/>
      <c r="M14" s="67"/>
      <c r="N14" s="67"/>
      <c r="O14" s="67"/>
      <c r="P14" s="67"/>
      <c r="Q14" s="67"/>
      <c r="R14" s="67"/>
      <c r="S14" s="67"/>
      <c r="T14" s="67"/>
      <c r="U14" s="67"/>
      <c r="V14" s="68"/>
    </row>
    <row r="15" spans="1:22" ht="15.75" customHeight="1">
      <c r="A15" s="78" t="s">
        <v>156</v>
      </c>
      <c r="B15" s="145"/>
      <c r="C15" s="145"/>
      <c r="D15" s="145"/>
      <c r="E15" s="145"/>
      <c r="F15" s="145"/>
      <c r="G15" s="145"/>
      <c r="H15" s="145"/>
      <c r="I15" s="145"/>
      <c r="J15" s="145"/>
      <c r="K15" s="145"/>
      <c r="L15" s="145"/>
      <c r="M15" s="145"/>
      <c r="N15" s="145"/>
      <c r="O15" s="145"/>
      <c r="P15" s="145"/>
      <c r="Q15" s="145"/>
      <c r="R15" s="145"/>
      <c r="S15" s="145"/>
      <c r="T15" s="145"/>
      <c r="U15" s="145"/>
      <c r="V15" s="146"/>
    </row>
    <row r="16" spans="1:22" ht="35.25" customHeight="1">
      <c r="A16" s="87" t="s">
        <v>157</v>
      </c>
      <c r="B16" s="67"/>
      <c r="C16" s="67"/>
      <c r="D16" s="67"/>
      <c r="E16" s="67"/>
      <c r="F16" s="67"/>
      <c r="G16" s="67"/>
      <c r="H16" s="67"/>
      <c r="I16" s="67"/>
      <c r="J16" s="67"/>
      <c r="K16" s="67"/>
      <c r="L16" s="68"/>
      <c r="M16" s="79" t="s">
        <v>158</v>
      </c>
      <c r="N16" s="67"/>
      <c r="O16" s="68"/>
      <c r="P16" s="79" t="s">
        <v>159</v>
      </c>
      <c r="Q16" s="67"/>
      <c r="R16" s="67"/>
      <c r="S16" s="67"/>
      <c r="T16" s="67"/>
      <c r="U16" s="67"/>
      <c r="V16" s="68"/>
    </row>
    <row r="17" spans="1:22" ht="18.75" customHeight="1">
      <c r="A17" s="88" t="s">
        <v>160</v>
      </c>
      <c r="B17" s="67"/>
      <c r="C17" s="67"/>
      <c r="D17" s="67"/>
      <c r="E17" s="67"/>
      <c r="F17" s="67"/>
      <c r="G17" s="67"/>
      <c r="H17" s="67"/>
      <c r="I17" s="67"/>
      <c r="J17" s="67"/>
      <c r="K17" s="67"/>
      <c r="L17" s="68"/>
      <c r="M17" s="81"/>
      <c r="N17" s="67"/>
      <c r="O17" s="68"/>
      <c r="P17" s="41" t="s">
        <v>161</v>
      </c>
      <c r="Q17" s="84"/>
      <c r="R17" s="85"/>
      <c r="S17" s="85"/>
      <c r="T17" s="85"/>
      <c r="U17" s="85"/>
      <c r="V17" s="86"/>
    </row>
    <row r="18" spans="1:22" ht="105.75" customHeight="1">
      <c r="A18" s="89" t="s">
        <v>162</v>
      </c>
      <c r="B18" s="82"/>
      <c r="C18" s="82"/>
      <c r="D18" s="82"/>
      <c r="E18" s="82"/>
      <c r="F18" s="82"/>
      <c r="G18" s="82"/>
      <c r="H18" s="82"/>
      <c r="I18" s="82"/>
      <c r="J18" s="82"/>
      <c r="K18" s="82"/>
      <c r="L18" s="83"/>
      <c r="M18" s="81"/>
      <c r="N18" s="67"/>
      <c r="O18" s="67"/>
      <c r="P18" s="67"/>
      <c r="Q18" s="67"/>
      <c r="R18" s="67"/>
      <c r="S18" s="67"/>
      <c r="T18" s="67"/>
      <c r="U18" s="67"/>
      <c r="V18" s="68"/>
    </row>
    <row r="19" spans="1:22" ht="18.75" customHeight="1">
      <c r="A19" s="90" t="s">
        <v>163</v>
      </c>
      <c r="B19" s="82"/>
      <c r="C19" s="82"/>
      <c r="D19" s="82"/>
      <c r="E19" s="82"/>
      <c r="F19" s="82"/>
      <c r="G19" s="82"/>
      <c r="H19" s="82"/>
      <c r="I19" s="82"/>
      <c r="J19" s="82"/>
      <c r="K19" s="82"/>
      <c r="L19" s="83"/>
      <c r="M19" s="81"/>
      <c r="N19" s="67"/>
      <c r="O19" s="68"/>
      <c r="P19" s="41" t="s">
        <v>161</v>
      </c>
      <c r="Q19" s="84"/>
      <c r="R19" s="85"/>
      <c r="S19" s="85"/>
      <c r="T19" s="85"/>
      <c r="U19" s="85"/>
      <c r="V19" s="86"/>
    </row>
    <row r="20" spans="1:22" ht="18.75" customHeight="1">
      <c r="A20" s="69" t="s">
        <v>164</v>
      </c>
      <c r="B20" s="67"/>
      <c r="C20" s="67"/>
      <c r="D20" s="67"/>
      <c r="E20" s="67"/>
      <c r="F20" s="67"/>
      <c r="G20" s="67"/>
      <c r="H20" s="67"/>
      <c r="I20" s="67"/>
      <c r="J20" s="67"/>
      <c r="K20" s="67"/>
      <c r="L20" s="68"/>
      <c r="M20" s="81"/>
      <c r="N20" s="67"/>
      <c r="O20" s="68"/>
      <c r="P20" s="41" t="s">
        <v>161</v>
      </c>
      <c r="Q20" s="84"/>
      <c r="R20" s="85"/>
      <c r="S20" s="85"/>
      <c r="T20" s="85"/>
      <c r="U20" s="85"/>
      <c r="V20" s="86"/>
    </row>
    <row r="21" spans="1:22" ht="18.75" customHeight="1">
      <c r="A21" s="69" t="s">
        <v>165</v>
      </c>
      <c r="B21" s="67"/>
      <c r="C21" s="67"/>
      <c r="D21" s="67"/>
      <c r="E21" s="67"/>
      <c r="F21" s="67"/>
      <c r="G21" s="67"/>
      <c r="H21" s="67"/>
      <c r="I21" s="67"/>
      <c r="J21" s="67"/>
      <c r="K21" s="67"/>
      <c r="L21" s="68"/>
      <c r="M21" s="81"/>
      <c r="N21" s="67"/>
      <c r="O21" s="68"/>
      <c r="P21" s="41" t="s">
        <v>161</v>
      </c>
      <c r="Q21" s="84"/>
      <c r="R21" s="85"/>
      <c r="S21" s="85"/>
      <c r="T21" s="85"/>
      <c r="U21" s="85"/>
      <c r="V21" s="86"/>
    </row>
    <row r="22" spans="1:22" ht="18.75" customHeight="1">
      <c r="A22" s="80" t="s">
        <v>166</v>
      </c>
      <c r="B22" s="67"/>
      <c r="C22" s="67"/>
      <c r="D22" s="67"/>
      <c r="E22" s="67"/>
      <c r="F22" s="67"/>
      <c r="G22" s="67"/>
      <c r="H22" s="67"/>
      <c r="I22" s="67"/>
      <c r="J22" s="67"/>
      <c r="K22" s="67"/>
      <c r="L22" s="68"/>
      <c r="M22" s="81"/>
      <c r="N22" s="67"/>
      <c r="O22" s="68"/>
      <c r="P22" s="41" t="s">
        <v>161</v>
      </c>
      <c r="Q22" s="84"/>
      <c r="R22" s="85"/>
      <c r="S22" s="85"/>
      <c r="T22" s="85"/>
      <c r="U22" s="85"/>
      <c r="V22" s="86"/>
    </row>
    <row r="23" spans="1:22" ht="30" customHeight="1">
      <c r="A23" s="80" t="s">
        <v>167</v>
      </c>
      <c r="B23" s="67"/>
      <c r="C23" s="67"/>
      <c r="D23" s="67"/>
      <c r="E23" s="67"/>
      <c r="F23" s="67"/>
      <c r="G23" s="67"/>
      <c r="H23" s="67"/>
      <c r="I23" s="67"/>
      <c r="J23" s="67"/>
      <c r="K23" s="67"/>
      <c r="L23" s="68"/>
      <c r="M23" s="81"/>
      <c r="N23" s="67"/>
      <c r="O23" s="68"/>
      <c r="P23" s="41" t="s">
        <v>161</v>
      </c>
      <c r="Q23" s="84"/>
      <c r="R23" s="85"/>
      <c r="S23" s="85"/>
      <c r="T23" s="85"/>
      <c r="U23" s="85"/>
      <c r="V23" s="86"/>
    </row>
    <row r="24" spans="1:22" ht="22.5" customHeight="1">
      <c r="A24" s="80" t="s">
        <v>168</v>
      </c>
      <c r="B24" s="67"/>
      <c r="C24" s="67"/>
      <c r="D24" s="67"/>
      <c r="E24" s="67"/>
      <c r="F24" s="67"/>
      <c r="G24" s="67"/>
      <c r="H24" s="67"/>
      <c r="I24" s="67"/>
      <c r="J24" s="67"/>
      <c r="K24" s="67"/>
      <c r="L24" s="68"/>
      <c r="M24" s="81"/>
      <c r="N24" s="67"/>
      <c r="O24" s="68"/>
      <c r="P24" s="41" t="s">
        <v>161</v>
      </c>
      <c r="Q24" s="84"/>
      <c r="R24" s="85"/>
      <c r="S24" s="85"/>
      <c r="T24" s="85"/>
      <c r="U24" s="85"/>
      <c r="V24" s="86"/>
    </row>
    <row r="25" spans="1:22" ht="22.5" customHeight="1">
      <c r="A25" s="80" t="s">
        <v>169</v>
      </c>
      <c r="B25" s="67"/>
      <c r="C25" s="67"/>
      <c r="D25" s="67"/>
      <c r="E25" s="67"/>
      <c r="F25" s="67"/>
      <c r="G25" s="67"/>
      <c r="H25" s="67"/>
      <c r="I25" s="67"/>
      <c r="J25" s="67"/>
      <c r="K25" s="67"/>
      <c r="L25" s="68"/>
      <c r="M25" s="81"/>
      <c r="N25" s="67"/>
      <c r="O25" s="68"/>
      <c r="P25" s="69"/>
      <c r="Q25" s="67"/>
      <c r="R25" s="67"/>
      <c r="S25" s="67"/>
      <c r="T25" s="67"/>
      <c r="U25" s="67"/>
      <c r="V25" s="68"/>
    </row>
    <row r="26" spans="1:22" ht="22.5" customHeight="1">
      <c r="A26" s="80" t="s">
        <v>170</v>
      </c>
      <c r="B26" s="67"/>
      <c r="C26" s="67"/>
      <c r="D26" s="67"/>
      <c r="E26" s="67"/>
      <c r="F26" s="67"/>
      <c r="G26" s="67"/>
      <c r="H26" s="67"/>
      <c r="I26" s="67"/>
      <c r="J26" s="67"/>
      <c r="K26" s="67"/>
      <c r="L26" s="68"/>
      <c r="M26" s="81"/>
      <c r="N26" s="67"/>
      <c r="O26" s="68"/>
      <c r="P26" s="69"/>
      <c r="Q26" s="67"/>
      <c r="R26" s="67"/>
      <c r="S26" s="67"/>
      <c r="T26" s="67"/>
      <c r="U26" s="67"/>
      <c r="V26" s="68"/>
    </row>
    <row r="27" spans="1:22" ht="12.75" customHeight="1">
      <c r="A27" s="78" t="s">
        <v>171</v>
      </c>
      <c r="B27" s="67"/>
      <c r="C27" s="67"/>
      <c r="D27" s="67"/>
      <c r="E27" s="67"/>
      <c r="F27" s="67"/>
      <c r="G27" s="67"/>
      <c r="H27" s="67"/>
      <c r="I27" s="67"/>
      <c r="J27" s="67"/>
      <c r="K27" s="67"/>
      <c r="L27" s="67"/>
      <c r="M27" s="67"/>
      <c r="N27" s="67"/>
      <c r="O27" s="67"/>
      <c r="P27" s="67"/>
      <c r="Q27" s="67"/>
      <c r="R27" s="67"/>
      <c r="S27" s="67"/>
      <c r="T27" s="67"/>
      <c r="U27" s="67"/>
      <c r="V27" s="68"/>
    </row>
    <row r="28" spans="1:22" ht="22.5" customHeight="1">
      <c r="A28" s="50" t="s">
        <v>172</v>
      </c>
      <c r="B28" s="67"/>
      <c r="C28" s="67"/>
      <c r="D28" s="67"/>
      <c r="E28" s="67"/>
      <c r="F28" s="67"/>
      <c r="G28" s="67"/>
      <c r="H28" s="67"/>
      <c r="I28" s="67"/>
      <c r="J28" s="67"/>
      <c r="K28" s="67"/>
      <c r="L28" s="68"/>
      <c r="M28" s="81"/>
      <c r="N28" s="67"/>
      <c r="O28" s="68"/>
      <c r="P28" s="52"/>
      <c r="Q28" s="82"/>
      <c r="R28" s="82"/>
      <c r="S28" s="82"/>
      <c r="T28" s="82"/>
      <c r="U28" s="82"/>
      <c r="V28" s="83"/>
    </row>
    <row r="29" spans="1:22" ht="22.5" customHeight="1">
      <c r="A29" s="54" t="s">
        <v>173</v>
      </c>
      <c r="B29" s="95"/>
      <c r="C29" s="95"/>
      <c r="D29" s="95"/>
      <c r="E29" s="95"/>
      <c r="F29" s="95"/>
      <c r="G29" s="95"/>
      <c r="H29" s="95"/>
      <c r="I29" s="95"/>
      <c r="J29" s="95"/>
      <c r="K29" s="95"/>
      <c r="L29" s="95"/>
      <c r="M29" s="81"/>
      <c r="N29" s="67"/>
      <c r="O29" s="68"/>
      <c r="P29" s="42" t="s">
        <v>161</v>
      </c>
      <c r="Q29" s="84"/>
      <c r="R29" s="85"/>
      <c r="S29" s="85"/>
      <c r="T29" s="85"/>
      <c r="U29" s="85"/>
      <c r="V29" s="86"/>
    </row>
    <row r="30" spans="1:22" ht="22.5" customHeight="1">
      <c r="A30" s="52" t="s">
        <v>174</v>
      </c>
      <c r="B30" s="82"/>
      <c r="C30" s="82"/>
      <c r="D30" s="82"/>
      <c r="E30" s="82"/>
      <c r="F30" s="82"/>
      <c r="G30" s="82"/>
      <c r="H30" s="82"/>
      <c r="I30" s="82"/>
      <c r="J30" s="82"/>
      <c r="K30" s="82"/>
      <c r="L30" s="83"/>
      <c r="M30" s="97"/>
      <c r="N30" s="82"/>
      <c r="O30" s="83"/>
      <c r="P30" s="69"/>
      <c r="Q30" s="67"/>
      <c r="R30" s="67"/>
      <c r="S30" s="67"/>
      <c r="T30" s="67"/>
      <c r="U30" s="67"/>
      <c r="V30" s="68"/>
    </row>
    <row r="31" spans="1:22" ht="22.5" customHeight="1">
      <c r="A31" s="94"/>
      <c r="B31" s="95"/>
      <c r="C31" s="95"/>
      <c r="D31" s="95"/>
      <c r="E31" s="95"/>
      <c r="F31" s="95"/>
      <c r="G31" s="95"/>
      <c r="H31" s="95"/>
      <c r="I31" s="95"/>
      <c r="J31" s="95"/>
      <c r="K31" s="95"/>
      <c r="L31" s="96"/>
      <c r="M31" s="94"/>
      <c r="N31" s="95"/>
      <c r="O31" s="96"/>
      <c r="P31" s="42" t="s">
        <v>161</v>
      </c>
      <c r="Q31" s="84"/>
      <c r="R31" s="85"/>
      <c r="S31" s="85"/>
      <c r="T31" s="85"/>
      <c r="U31" s="85"/>
      <c r="V31" s="86"/>
    </row>
    <row r="32" spans="1:22" ht="22.5" customHeight="1">
      <c r="A32" s="52" t="s">
        <v>175</v>
      </c>
      <c r="B32" s="82"/>
      <c r="C32" s="82"/>
      <c r="D32" s="82"/>
      <c r="E32" s="82"/>
      <c r="F32" s="82"/>
      <c r="G32" s="82"/>
      <c r="H32" s="82"/>
      <c r="I32" s="82"/>
      <c r="J32" s="82"/>
      <c r="K32" s="82"/>
      <c r="L32" s="83"/>
      <c r="M32" s="97"/>
      <c r="N32" s="82"/>
      <c r="O32" s="83"/>
      <c r="P32" s="69"/>
      <c r="Q32" s="67"/>
      <c r="R32" s="67"/>
      <c r="S32" s="67"/>
      <c r="T32" s="67"/>
      <c r="U32" s="67"/>
      <c r="V32" s="68"/>
    </row>
    <row r="33" spans="1:22" ht="22.5" customHeight="1">
      <c r="A33" s="94"/>
      <c r="B33" s="95"/>
      <c r="C33" s="95"/>
      <c r="D33" s="95"/>
      <c r="E33" s="95"/>
      <c r="F33" s="95"/>
      <c r="G33" s="95"/>
      <c r="H33" s="95"/>
      <c r="I33" s="95"/>
      <c r="J33" s="95"/>
      <c r="K33" s="95"/>
      <c r="L33" s="96"/>
      <c r="M33" s="94"/>
      <c r="N33" s="95"/>
      <c r="O33" s="96"/>
      <c r="P33" s="42" t="s">
        <v>161</v>
      </c>
      <c r="Q33" s="84"/>
      <c r="R33" s="85"/>
      <c r="S33" s="85"/>
      <c r="T33" s="85"/>
      <c r="U33" s="85"/>
      <c r="V33" s="86"/>
    </row>
    <row r="34" spans="1:22" ht="22.5" customHeight="1">
      <c r="A34" s="90" t="s">
        <v>176</v>
      </c>
      <c r="B34" s="82"/>
      <c r="C34" s="82"/>
      <c r="D34" s="82"/>
      <c r="E34" s="82"/>
      <c r="F34" s="82"/>
      <c r="G34" s="82"/>
      <c r="H34" s="82"/>
      <c r="I34" s="82"/>
      <c r="J34" s="82"/>
      <c r="K34" s="82"/>
      <c r="L34" s="83"/>
      <c r="M34" s="97"/>
      <c r="N34" s="82"/>
      <c r="O34" s="83"/>
      <c r="P34" s="91"/>
      <c r="Q34" s="92"/>
      <c r="R34" s="92"/>
      <c r="S34" s="92"/>
      <c r="T34" s="92"/>
      <c r="U34" s="92"/>
      <c r="V34" s="93"/>
    </row>
    <row r="35" spans="1:22" ht="22.5" customHeight="1">
      <c r="A35" s="94"/>
      <c r="B35" s="95"/>
      <c r="C35" s="95"/>
      <c r="D35" s="95"/>
      <c r="E35" s="95"/>
      <c r="F35" s="95"/>
      <c r="G35" s="95"/>
      <c r="H35" s="95"/>
      <c r="I35" s="95"/>
      <c r="J35" s="95"/>
      <c r="K35" s="95"/>
      <c r="L35" s="96"/>
      <c r="M35" s="94"/>
      <c r="N35" s="95"/>
      <c r="O35" s="96"/>
      <c r="P35" s="42" t="s">
        <v>161</v>
      </c>
      <c r="Q35" s="84"/>
      <c r="R35" s="67"/>
      <c r="S35" s="67"/>
      <c r="T35" s="67"/>
      <c r="U35" s="67"/>
      <c r="V35" s="68"/>
    </row>
    <row r="36" spans="1:22" ht="22.5" customHeight="1">
      <c r="A36" s="52" t="s">
        <v>177</v>
      </c>
      <c r="B36" s="82"/>
      <c r="C36" s="82"/>
      <c r="D36" s="82"/>
      <c r="E36" s="82"/>
      <c r="F36" s="82"/>
      <c r="G36" s="82"/>
      <c r="H36" s="82"/>
      <c r="I36" s="82"/>
      <c r="J36" s="82"/>
      <c r="K36" s="82"/>
      <c r="L36" s="83"/>
      <c r="M36" s="97"/>
      <c r="N36" s="82"/>
      <c r="O36" s="83"/>
      <c r="P36" s="69"/>
      <c r="Q36" s="67"/>
      <c r="R36" s="67"/>
      <c r="S36" s="67"/>
      <c r="T36" s="67"/>
      <c r="U36" s="67"/>
      <c r="V36" s="68"/>
    </row>
    <row r="37" spans="1:22" ht="22.5" customHeight="1">
      <c r="A37" s="94"/>
      <c r="B37" s="95"/>
      <c r="C37" s="95"/>
      <c r="D37" s="95"/>
      <c r="E37" s="95"/>
      <c r="F37" s="95"/>
      <c r="G37" s="95"/>
      <c r="H37" s="95"/>
      <c r="I37" s="95"/>
      <c r="J37" s="95"/>
      <c r="K37" s="95"/>
      <c r="L37" s="96"/>
      <c r="M37" s="94"/>
      <c r="N37" s="95"/>
      <c r="O37" s="96"/>
      <c r="P37" s="42" t="s">
        <v>161</v>
      </c>
      <c r="Q37" s="84"/>
      <c r="R37" s="85"/>
      <c r="S37" s="85"/>
      <c r="T37" s="85"/>
      <c r="U37" s="85"/>
      <c r="V37" s="86"/>
    </row>
    <row r="38" spans="1:22" ht="30" customHeight="1">
      <c r="A38" s="69" t="s">
        <v>178</v>
      </c>
      <c r="B38" s="67"/>
      <c r="C38" s="67"/>
      <c r="D38" s="67"/>
      <c r="E38" s="67"/>
      <c r="F38" s="67"/>
      <c r="G38" s="67"/>
      <c r="H38" s="67"/>
      <c r="I38" s="67"/>
      <c r="J38" s="67"/>
      <c r="K38" s="67"/>
      <c r="L38" s="67"/>
      <c r="M38" s="81"/>
      <c r="N38" s="67"/>
      <c r="O38" s="68"/>
      <c r="P38" s="69"/>
      <c r="Q38" s="67"/>
      <c r="R38" s="67"/>
      <c r="S38" s="67"/>
      <c r="T38" s="67"/>
      <c r="U38" s="67"/>
      <c r="V38" s="68"/>
    </row>
    <row r="39" spans="1:22" ht="22.5" customHeight="1">
      <c r="A39" s="98" t="s">
        <v>179</v>
      </c>
      <c r="B39" s="82"/>
      <c r="C39" s="82"/>
      <c r="D39" s="82"/>
      <c r="E39" s="82"/>
      <c r="F39" s="82"/>
      <c r="G39" s="82"/>
      <c r="H39" s="82"/>
      <c r="I39" s="82"/>
      <c r="J39" s="82"/>
      <c r="K39" s="82"/>
      <c r="L39" s="83"/>
      <c r="M39" s="97"/>
      <c r="N39" s="82"/>
      <c r="O39" s="83"/>
      <c r="P39" s="99"/>
      <c r="Q39" s="67"/>
      <c r="R39" s="67"/>
      <c r="S39" s="67"/>
      <c r="T39" s="67"/>
      <c r="U39" s="67"/>
      <c r="V39" s="68"/>
    </row>
    <row r="40" spans="1:22" ht="30" customHeight="1">
      <c r="A40" s="94"/>
      <c r="B40" s="95"/>
      <c r="C40" s="95"/>
      <c r="D40" s="95"/>
      <c r="E40" s="95"/>
      <c r="F40" s="95"/>
      <c r="G40" s="95"/>
      <c r="H40" s="95"/>
      <c r="I40" s="95"/>
      <c r="J40" s="95"/>
      <c r="K40" s="95"/>
      <c r="L40" s="96"/>
      <c r="M40" s="94"/>
      <c r="N40" s="95"/>
      <c r="O40" s="96"/>
      <c r="P40" s="100"/>
      <c r="Q40" s="95"/>
      <c r="R40" s="95"/>
      <c r="S40" s="95"/>
      <c r="T40" s="95"/>
      <c r="U40" s="95"/>
      <c r="V40" s="96"/>
    </row>
    <row r="41" spans="1:22" ht="22.5" customHeight="1">
      <c r="A41" s="98" t="s">
        <v>180</v>
      </c>
      <c r="B41" s="82"/>
      <c r="C41" s="82"/>
      <c r="D41" s="82"/>
      <c r="E41" s="82"/>
      <c r="F41" s="82"/>
      <c r="G41" s="82"/>
      <c r="H41" s="82"/>
      <c r="I41" s="82"/>
      <c r="J41" s="82"/>
      <c r="K41" s="82"/>
      <c r="L41" s="83"/>
      <c r="M41" s="97"/>
      <c r="N41" s="82"/>
      <c r="O41" s="83"/>
      <c r="P41" s="99"/>
      <c r="Q41" s="67"/>
      <c r="R41" s="67"/>
      <c r="S41" s="67"/>
      <c r="T41" s="67"/>
      <c r="U41" s="67"/>
      <c r="V41" s="68"/>
    </row>
    <row r="42" spans="1:22" ht="30" customHeight="1">
      <c r="A42" s="94"/>
      <c r="B42" s="95"/>
      <c r="C42" s="95"/>
      <c r="D42" s="95"/>
      <c r="E42" s="95"/>
      <c r="F42" s="95"/>
      <c r="G42" s="95"/>
      <c r="H42" s="95"/>
      <c r="I42" s="95"/>
      <c r="J42" s="95"/>
      <c r="K42" s="95"/>
      <c r="L42" s="96"/>
      <c r="M42" s="94"/>
      <c r="N42" s="95"/>
      <c r="O42" s="96"/>
      <c r="P42" s="100"/>
      <c r="Q42" s="95"/>
      <c r="R42" s="95"/>
      <c r="S42" s="95"/>
      <c r="T42" s="95"/>
      <c r="U42" s="95"/>
      <c r="V42" s="96"/>
    </row>
    <row r="43" spans="1:22" ht="22.5" customHeight="1">
      <c r="A43" s="98" t="s">
        <v>181</v>
      </c>
      <c r="B43" s="82"/>
      <c r="C43" s="82"/>
      <c r="D43" s="82"/>
      <c r="E43" s="82"/>
      <c r="F43" s="82"/>
      <c r="G43" s="82"/>
      <c r="H43" s="82"/>
      <c r="I43" s="82"/>
      <c r="J43" s="82"/>
      <c r="K43" s="82"/>
      <c r="L43" s="83"/>
      <c r="M43" s="97"/>
      <c r="N43" s="82"/>
      <c r="O43" s="83"/>
      <c r="P43" s="99"/>
      <c r="Q43" s="67"/>
      <c r="R43" s="67"/>
      <c r="S43" s="67"/>
      <c r="T43" s="67"/>
      <c r="U43" s="67"/>
      <c r="V43" s="68"/>
    </row>
    <row r="44" spans="1:22" ht="30" customHeight="1">
      <c r="A44" s="94"/>
      <c r="B44" s="95"/>
      <c r="C44" s="95"/>
      <c r="D44" s="95"/>
      <c r="E44" s="95"/>
      <c r="F44" s="95"/>
      <c r="G44" s="95"/>
      <c r="H44" s="95"/>
      <c r="I44" s="95"/>
      <c r="J44" s="95"/>
      <c r="K44" s="95"/>
      <c r="L44" s="96"/>
      <c r="M44" s="94"/>
      <c r="N44" s="95"/>
      <c r="O44" s="96"/>
      <c r="P44" s="100"/>
      <c r="Q44" s="101"/>
      <c r="R44" s="101"/>
      <c r="S44" s="101"/>
      <c r="T44" s="101"/>
      <c r="U44" s="101"/>
      <c r="V44" s="102"/>
    </row>
    <row r="45" spans="1:22" ht="22.5" customHeight="1">
      <c r="A45" s="98" t="s">
        <v>182</v>
      </c>
      <c r="B45" s="82"/>
      <c r="C45" s="82"/>
      <c r="D45" s="82"/>
      <c r="E45" s="82"/>
      <c r="F45" s="82"/>
      <c r="G45" s="82"/>
      <c r="H45" s="82"/>
      <c r="I45" s="82"/>
      <c r="J45" s="82"/>
      <c r="K45" s="82"/>
      <c r="L45" s="83"/>
      <c r="M45" s="97"/>
      <c r="N45" s="82"/>
      <c r="O45" s="83"/>
      <c r="P45" s="99"/>
      <c r="Q45" s="67"/>
      <c r="R45" s="67"/>
      <c r="S45" s="67"/>
      <c r="T45" s="67"/>
      <c r="U45" s="67"/>
      <c r="V45" s="68"/>
    </row>
    <row r="46" spans="1:22" ht="30" customHeight="1">
      <c r="A46" s="94"/>
      <c r="B46" s="95"/>
      <c r="C46" s="95"/>
      <c r="D46" s="95"/>
      <c r="E46" s="95"/>
      <c r="F46" s="95"/>
      <c r="G46" s="95"/>
      <c r="H46" s="95"/>
      <c r="I46" s="95"/>
      <c r="J46" s="95"/>
      <c r="K46" s="95"/>
      <c r="L46" s="96"/>
      <c r="M46" s="94"/>
      <c r="N46" s="95"/>
      <c r="O46" s="96"/>
      <c r="P46" s="100"/>
      <c r="Q46" s="95"/>
      <c r="R46" s="95"/>
      <c r="S46" s="95"/>
      <c r="T46" s="95"/>
      <c r="U46" s="95"/>
      <c r="V46" s="96"/>
    </row>
    <row r="47" spans="1:22" ht="22.5" customHeight="1">
      <c r="A47" s="98" t="s">
        <v>183</v>
      </c>
      <c r="B47" s="82"/>
      <c r="C47" s="82"/>
      <c r="D47" s="82"/>
      <c r="E47" s="82"/>
      <c r="F47" s="82"/>
      <c r="G47" s="82"/>
      <c r="H47" s="82"/>
      <c r="I47" s="82"/>
      <c r="J47" s="82"/>
      <c r="K47" s="82"/>
      <c r="L47" s="83"/>
      <c r="M47" s="97"/>
      <c r="N47" s="82"/>
      <c r="O47" s="83"/>
      <c r="P47" s="99"/>
      <c r="Q47" s="67"/>
      <c r="R47" s="67"/>
      <c r="S47" s="67"/>
      <c r="T47" s="67"/>
      <c r="U47" s="67"/>
      <c r="V47" s="68"/>
    </row>
    <row r="48" spans="1:22" ht="30" customHeight="1">
      <c r="A48" s="94"/>
      <c r="B48" s="95"/>
      <c r="C48" s="95"/>
      <c r="D48" s="95"/>
      <c r="E48" s="95"/>
      <c r="F48" s="95"/>
      <c r="G48" s="95"/>
      <c r="H48" s="95"/>
      <c r="I48" s="95"/>
      <c r="J48" s="95"/>
      <c r="K48" s="95"/>
      <c r="L48" s="96"/>
      <c r="M48" s="94"/>
      <c r="N48" s="95"/>
      <c r="O48" s="96"/>
      <c r="P48" s="100"/>
      <c r="Q48" s="95"/>
      <c r="R48" s="95"/>
      <c r="S48" s="95"/>
      <c r="T48" s="95"/>
      <c r="U48" s="95"/>
      <c r="V48" s="96"/>
    </row>
    <row r="49" spans="1:22" ht="22.5" customHeight="1">
      <c r="A49" s="98" t="s">
        <v>184</v>
      </c>
      <c r="B49" s="82"/>
      <c r="C49" s="82"/>
      <c r="D49" s="82"/>
      <c r="E49" s="82"/>
      <c r="F49" s="82"/>
      <c r="G49" s="82"/>
      <c r="H49" s="82"/>
      <c r="I49" s="82"/>
      <c r="J49" s="82"/>
      <c r="K49" s="82"/>
      <c r="L49" s="83"/>
      <c r="M49" s="97"/>
      <c r="N49" s="82"/>
      <c r="O49" s="83"/>
      <c r="P49" s="99"/>
      <c r="Q49" s="67"/>
      <c r="R49" s="67"/>
      <c r="S49" s="67"/>
      <c r="T49" s="67"/>
      <c r="U49" s="67"/>
      <c r="V49" s="68"/>
    </row>
    <row r="50" spans="1:22" ht="30" customHeight="1">
      <c r="A50" s="94"/>
      <c r="B50" s="95"/>
      <c r="C50" s="95"/>
      <c r="D50" s="95"/>
      <c r="E50" s="95"/>
      <c r="F50" s="95"/>
      <c r="G50" s="95"/>
      <c r="H50" s="95"/>
      <c r="I50" s="95"/>
      <c r="J50" s="95"/>
      <c r="K50" s="95"/>
      <c r="L50" s="96"/>
      <c r="M50" s="94"/>
      <c r="N50" s="95"/>
      <c r="O50" s="96"/>
      <c r="P50" s="100"/>
      <c r="Q50" s="95"/>
      <c r="R50" s="95"/>
      <c r="S50" s="95"/>
      <c r="T50" s="95"/>
      <c r="U50" s="95"/>
      <c r="V50" s="96"/>
    </row>
    <row r="51" spans="1:22" ht="18.75" customHeight="1">
      <c r="A51" s="98" t="s">
        <v>185</v>
      </c>
      <c r="B51" s="82"/>
      <c r="C51" s="82"/>
      <c r="D51" s="82"/>
      <c r="E51" s="82"/>
      <c r="F51" s="82"/>
      <c r="G51" s="82"/>
      <c r="H51" s="82"/>
      <c r="I51" s="82"/>
      <c r="J51" s="82"/>
      <c r="K51" s="82"/>
      <c r="L51" s="83"/>
      <c r="M51" s="97"/>
      <c r="N51" s="82"/>
      <c r="O51" s="83"/>
      <c r="P51" s="99"/>
      <c r="Q51" s="67"/>
      <c r="R51" s="67"/>
      <c r="S51" s="67"/>
      <c r="T51" s="67"/>
      <c r="U51" s="67"/>
      <c r="V51" s="68"/>
    </row>
    <row r="52" spans="1:22" ht="18.75" customHeight="1">
      <c r="A52" s="103"/>
      <c r="B52" s="104"/>
      <c r="C52" s="104"/>
      <c r="D52" s="104"/>
      <c r="E52" s="104"/>
      <c r="F52" s="104"/>
      <c r="G52" s="104"/>
      <c r="H52" s="104"/>
      <c r="I52" s="104"/>
      <c r="J52" s="104"/>
      <c r="K52" s="104"/>
      <c r="L52" s="105"/>
      <c r="M52" s="103"/>
      <c r="N52" s="104"/>
      <c r="O52" s="105"/>
      <c r="P52" s="108"/>
      <c r="Q52" s="95"/>
      <c r="R52" s="95"/>
      <c r="S52" s="95"/>
      <c r="T52" s="95"/>
      <c r="U52" s="95"/>
      <c r="V52" s="96"/>
    </row>
    <row r="53" spans="1:22" ht="18.75" customHeight="1">
      <c r="A53" s="94"/>
      <c r="B53" s="95"/>
      <c r="C53" s="95"/>
      <c r="D53" s="95"/>
      <c r="E53" s="95"/>
      <c r="F53" s="95"/>
      <c r="G53" s="95"/>
      <c r="H53" s="95"/>
      <c r="I53" s="95"/>
      <c r="J53" s="95"/>
      <c r="K53" s="95"/>
      <c r="L53" s="96"/>
      <c r="M53" s="94"/>
      <c r="N53" s="95"/>
      <c r="O53" s="96"/>
      <c r="P53" s="100"/>
      <c r="Q53" s="95"/>
      <c r="R53" s="95"/>
      <c r="S53" s="95"/>
      <c r="T53" s="95"/>
      <c r="U53" s="95"/>
      <c r="V53" s="96"/>
    </row>
    <row r="54" spans="1:22" ht="22.5" customHeight="1">
      <c r="A54" s="98" t="s">
        <v>186</v>
      </c>
      <c r="B54" s="82"/>
      <c r="C54" s="82"/>
      <c r="D54" s="82"/>
      <c r="E54" s="82"/>
      <c r="F54" s="82"/>
      <c r="G54" s="82"/>
      <c r="H54" s="82"/>
      <c r="I54" s="82"/>
      <c r="J54" s="82"/>
      <c r="K54" s="82"/>
      <c r="L54" s="83"/>
      <c r="M54" s="97"/>
      <c r="N54" s="82"/>
      <c r="O54" s="83"/>
      <c r="P54" s="99"/>
      <c r="Q54" s="67"/>
      <c r="R54" s="67"/>
      <c r="S54" s="67"/>
      <c r="T54" s="67"/>
      <c r="U54" s="67"/>
      <c r="V54" s="68"/>
    </row>
    <row r="55" spans="1:22" ht="22.5" customHeight="1">
      <c r="A55" s="103"/>
      <c r="B55" s="104"/>
      <c r="C55" s="104"/>
      <c r="D55" s="104"/>
      <c r="E55" s="104"/>
      <c r="F55" s="104"/>
      <c r="G55" s="104"/>
      <c r="H55" s="104"/>
      <c r="I55" s="104"/>
      <c r="J55" s="104"/>
      <c r="K55" s="104"/>
      <c r="L55" s="105"/>
      <c r="M55" s="103"/>
      <c r="N55" s="104"/>
      <c r="O55" s="105"/>
      <c r="P55" s="108"/>
      <c r="Q55" s="95"/>
      <c r="R55" s="95"/>
      <c r="S55" s="95"/>
      <c r="T55" s="95"/>
      <c r="U55" s="95"/>
      <c r="V55" s="96"/>
    </row>
    <row r="56" spans="1:22" ht="30" customHeight="1">
      <c r="A56" s="94"/>
      <c r="B56" s="95"/>
      <c r="C56" s="95"/>
      <c r="D56" s="95"/>
      <c r="E56" s="95"/>
      <c r="F56" s="95"/>
      <c r="G56" s="95"/>
      <c r="H56" s="95"/>
      <c r="I56" s="95"/>
      <c r="J56" s="95"/>
      <c r="K56" s="95"/>
      <c r="L56" s="96"/>
      <c r="M56" s="94"/>
      <c r="N56" s="95"/>
      <c r="O56" s="96"/>
      <c r="P56" s="100"/>
      <c r="Q56" s="95"/>
      <c r="R56" s="95"/>
      <c r="S56" s="95"/>
      <c r="T56" s="95"/>
      <c r="U56" s="95"/>
      <c r="V56" s="96"/>
    </row>
    <row r="57" spans="1:22" ht="22.5" customHeight="1">
      <c r="A57" s="98" t="s">
        <v>187</v>
      </c>
      <c r="B57" s="82"/>
      <c r="C57" s="82"/>
      <c r="D57" s="82"/>
      <c r="E57" s="82"/>
      <c r="F57" s="82"/>
      <c r="G57" s="82"/>
      <c r="H57" s="82"/>
      <c r="I57" s="82"/>
      <c r="J57" s="82"/>
      <c r="K57" s="82"/>
      <c r="L57" s="83"/>
      <c r="M57" s="97"/>
      <c r="N57" s="82"/>
      <c r="O57" s="83"/>
      <c r="P57" s="99"/>
      <c r="Q57" s="67"/>
      <c r="R57" s="67"/>
      <c r="S57" s="67"/>
      <c r="T57" s="67"/>
      <c r="U57" s="67"/>
      <c r="V57" s="68"/>
    </row>
    <row r="58" spans="1:22" ht="22.5" customHeight="1">
      <c r="A58" s="103"/>
      <c r="B58" s="104"/>
      <c r="C58" s="104"/>
      <c r="D58" s="104"/>
      <c r="E58" s="104"/>
      <c r="F58" s="104"/>
      <c r="G58" s="104"/>
      <c r="H58" s="104"/>
      <c r="I58" s="104"/>
      <c r="J58" s="104"/>
      <c r="K58" s="104"/>
      <c r="L58" s="105"/>
      <c r="M58" s="103"/>
      <c r="N58" s="104"/>
      <c r="O58" s="105"/>
      <c r="P58" s="108"/>
      <c r="Q58" s="95"/>
      <c r="R58" s="95"/>
      <c r="S58" s="95"/>
      <c r="T58" s="95"/>
      <c r="U58" s="95"/>
      <c r="V58" s="96"/>
    </row>
    <row r="59" spans="1:22" ht="30" customHeight="1">
      <c r="A59" s="94"/>
      <c r="B59" s="95"/>
      <c r="C59" s="95"/>
      <c r="D59" s="95"/>
      <c r="E59" s="95"/>
      <c r="F59" s="95"/>
      <c r="G59" s="95"/>
      <c r="H59" s="95"/>
      <c r="I59" s="95"/>
      <c r="J59" s="95"/>
      <c r="K59" s="95"/>
      <c r="L59" s="96"/>
      <c r="M59" s="94"/>
      <c r="N59" s="95"/>
      <c r="O59" s="96"/>
      <c r="P59" s="100"/>
      <c r="Q59" s="95"/>
      <c r="R59" s="95"/>
      <c r="S59" s="95"/>
      <c r="T59" s="95"/>
      <c r="U59" s="95"/>
      <c r="V59" s="96"/>
    </row>
    <row r="60" spans="1:22" ht="22.5" customHeight="1">
      <c r="A60" s="74" t="s">
        <v>188</v>
      </c>
      <c r="B60" s="67"/>
      <c r="C60" s="67"/>
      <c r="D60" s="67"/>
      <c r="E60" s="67"/>
      <c r="F60" s="67"/>
      <c r="G60" s="67"/>
      <c r="H60" s="67"/>
      <c r="I60" s="67"/>
      <c r="J60" s="67"/>
      <c r="K60" s="67"/>
      <c r="L60" s="68"/>
      <c r="M60" s="106"/>
      <c r="N60" s="67"/>
      <c r="O60" s="68"/>
      <c r="P60" s="88"/>
      <c r="Q60" s="67"/>
      <c r="R60" s="67"/>
      <c r="S60" s="67"/>
      <c r="T60" s="67"/>
      <c r="U60" s="67"/>
      <c r="V60" s="68"/>
    </row>
    <row r="61" spans="1:22" ht="30" customHeight="1">
      <c r="A61" s="74" t="s">
        <v>189</v>
      </c>
      <c r="B61" s="67"/>
      <c r="C61" s="67"/>
      <c r="D61" s="67"/>
      <c r="E61" s="67"/>
      <c r="F61" s="67"/>
      <c r="G61" s="67"/>
      <c r="H61" s="67"/>
      <c r="I61" s="67"/>
      <c r="J61" s="67"/>
      <c r="K61" s="67"/>
      <c r="L61" s="68"/>
      <c r="M61" s="106"/>
      <c r="N61" s="67"/>
      <c r="O61" s="68"/>
      <c r="P61" s="88"/>
      <c r="Q61" s="67"/>
      <c r="R61" s="67"/>
      <c r="S61" s="67"/>
      <c r="T61" s="67"/>
      <c r="U61" s="67"/>
      <c r="V61" s="68"/>
    </row>
    <row r="62" spans="1:22" ht="22.5" customHeight="1">
      <c r="A62" s="74" t="s">
        <v>190</v>
      </c>
      <c r="B62" s="67"/>
      <c r="C62" s="67"/>
      <c r="D62" s="67"/>
      <c r="E62" s="67"/>
      <c r="F62" s="67"/>
      <c r="G62" s="67"/>
      <c r="H62" s="67"/>
      <c r="I62" s="67"/>
      <c r="J62" s="67"/>
      <c r="K62" s="67"/>
      <c r="L62" s="68"/>
      <c r="M62" s="106"/>
      <c r="N62" s="67"/>
      <c r="O62" s="68"/>
      <c r="P62" s="88"/>
      <c r="Q62" s="67"/>
      <c r="R62" s="67"/>
      <c r="S62" s="67"/>
      <c r="T62" s="67"/>
      <c r="U62" s="67"/>
      <c r="V62" s="68"/>
    </row>
    <row r="63" spans="1:22" ht="30" customHeight="1">
      <c r="A63" s="74" t="s">
        <v>191</v>
      </c>
      <c r="B63" s="67"/>
      <c r="C63" s="67"/>
      <c r="D63" s="67"/>
      <c r="E63" s="67"/>
      <c r="F63" s="67"/>
      <c r="G63" s="67"/>
      <c r="H63" s="67"/>
      <c r="I63" s="67"/>
      <c r="J63" s="67"/>
      <c r="K63" s="67"/>
      <c r="L63" s="68"/>
      <c r="M63" s="106"/>
      <c r="N63" s="67"/>
      <c r="O63" s="68"/>
      <c r="P63" s="88"/>
      <c r="Q63" s="67"/>
      <c r="R63" s="67"/>
      <c r="S63" s="67"/>
      <c r="T63" s="67"/>
      <c r="U63" s="67"/>
      <c r="V63" s="68"/>
    </row>
    <row r="64" spans="1:22" ht="22.5" customHeight="1">
      <c r="A64" s="74" t="s">
        <v>192</v>
      </c>
      <c r="B64" s="67"/>
      <c r="C64" s="67"/>
      <c r="D64" s="67"/>
      <c r="E64" s="67"/>
      <c r="F64" s="67"/>
      <c r="G64" s="67"/>
      <c r="H64" s="67"/>
      <c r="I64" s="67"/>
      <c r="J64" s="67"/>
      <c r="K64" s="67"/>
      <c r="L64" s="68"/>
      <c r="M64" s="106"/>
      <c r="N64" s="67"/>
      <c r="O64" s="68"/>
      <c r="P64" s="43" t="s">
        <v>161</v>
      </c>
      <c r="Q64" s="107"/>
      <c r="R64" s="85"/>
      <c r="S64" s="85"/>
      <c r="T64" s="85"/>
      <c r="U64" s="85"/>
      <c r="V64" s="86"/>
    </row>
    <row r="65" spans="1:22" ht="22.5" customHeight="1">
      <c r="A65" s="74" t="s">
        <v>193</v>
      </c>
      <c r="B65" s="67"/>
      <c r="C65" s="67"/>
      <c r="D65" s="67"/>
      <c r="E65" s="67"/>
      <c r="F65" s="67"/>
      <c r="G65" s="67"/>
      <c r="H65" s="67"/>
      <c r="I65" s="67"/>
      <c r="J65" s="67"/>
      <c r="K65" s="67"/>
      <c r="L65" s="68"/>
      <c r="M65" s="106"/>
      <c r="N65" s="67"/>
      <c r="O65" s="68"/>
      <c r="P65" s="88"/>
      <c r="Q65" s="67"/>
      <c r="R65" s="67"/>
      <c r="S65" s="67"/>
      <c r="T65" s="67"/>
      <c r="U65" s="67"/>
      <c r="V65" s="68"/>
    </row>
    <row r="66" spans="1:22" ht="22.5" customHeight="1">
      <c r="A66" s="74" t="s">
        <v>194</v>
      </c>
      <c r="B66" s="67"/>
      <c r="C66" s="67"/>
      <c r="D66" s="67"/>
      <c r="E66" s="67"/>
      <c r="F66" s="67"/>
      <c r="G66" s="67"/>
      <c r="H66" s="67"/>
      <c r="I66" s="67"/>
      <c r="J66" s="67"/>
      <c r="K66" s="67"/>
      <c r="L66" s="68"/>
      <c r="M66" s="106"/>
      <c r="N66" s="67"/>
      <c r="O66" s="68"/>
      <c r="P66" s="43" t="s">
        <v>161</v>
      </c>
      <c r="Q66" s="107"/>
      <c r="R66" s="85"/>
      <c r="S66" s="85"/>
      <c r="T66" s="85"/>
      <c r="U66" s="85"/>
      <c r="V66" s="86"/>
    </row>
    <row r="67" spans="1:22" ht="22.5" customHeight="1">
      <c r="A67" s="74" t="s">
        <v>195</v>
      </c>
      <c r="B67" s="67"/>
      <c r="C67" s="67"/>
      <c r="D67" s="67"/>
      <c r="E67" s="67"/>
      <c r="F67" s="67"/>
      <c r="G67" s="67"/>
      <c r="H67" s="67"/>
      <c r="I67" s="67"/>
      <c r="J67" s="67"/>
      <c r="K67" s="67"/>
      <c r="L67" s="68"/>
      <c r="M67" s="106"/>
      <c r="N67" s="67"/>
      <c r="O67" s="68"/>
      <c r="P67" s="43" t="s">
        <v>161</v>
      </c>
      <c r="Q67" s="107"/>
      <c r="R67" s="85"/>
      <c r="S67" s="85"/>
      <c r="T67" s="85"/>
      <c r="U67" s="85"/>
      <c r="V67" s="86"/>
    </row>
    <row r="68" spans="1:22" ht="30" customHeight="1">
      <c r="A68" s="74" t="s">
        <v>196</v>
      </c>
      <c r="B68" s="67"/>
      <c r="C68" s="67"/>
      <c r="D68" s="67"/>
      <c r="E68" s="67"/>
      <c r="F68" s="67"/>
      <c r="G68" s="67"/>
      <c r="H68" s="67"/>
      <c r="I68" s="67"/>
      <c r="J68" s="67"/>
      <c r="K68" s="67"/>
      <c r="L68" s="68"/>
      <c r="M68" s="106"/>
      <c r="N68" s="67"/>
      <c r="O68" s="68"/>
      <c r="P68" s="43" t="s">
        <v>161</v>
      </c>
      <c r="Q68" s="107"/>
      <c r="R68" s="85"/>
      <c r="S68" s="85"/>
      <c r="T68" s="85"/>
      <c r="U68" s="85"/>
      <c r="V68" s="86"/>
    </row>
    <row r="69" spans="1:22" ht="30" customHeight="1">
      <c r="A69" s="74" t="s">
        <v>197</v>
      </c>
      <c r="B69" s="67"/>
      <c r="C69" s="67"/>
      <c r="D69" s="67"/>
      <c r="E69" s="67"/>
      <c r="F69" s="67"/>
      <c r="G69" s="67"/>
      <c r="H69" s="67"/>
      <c r="I69" s="67"/>
      <c r="J69" s="67"/>
      <c r="K69" s="67"/>
      <c r="L69" s="68"/>
      <c r="M69" s="106"/>
      <c r="N69" s="67"/>
      <c r="O69" s="68"/>
      <c r="P69" s="43" t="s">
        <v>161</v>
      </c>
      <c r="Q69" s="107"/>
      <c r="R69" s="85"/>
      <c r="S69" s="85"/>
      <c r="T69" s="85"/>
      <c r="U69" s="85"/>
      <c r="V69" s="86"/>
    </row>
    <row r="70" spans="1:22" ht="12.75" customHeight="1">
      <c r="A70" s="78" t="s">
        <v>198</v>
      </c>
      <c r="B70" s="145"/>
      <c r="C70" s="145"/>
      <c r="D70" s="145"/>
      <c r="E70" s="145"/>
      <c r="F70" s="145"/>
      <c r="G70" s="145"/>
      <c r="H70" s="145"/>
      <c r="I70" s="145"/>
      <c r="J70" s="145"/>
      <c r="K70" s="145"/>
      <c r="L70" s="145"/>
      <c r="M70" s="145"/>
      <c r="N70" s="145"/>
      <c r="O70" s="145"/>
      <c r="P70" s="145"/>
      <c r="Q70" s="145"/>
      <c r="R70" s="145"/>
      <c r="S70" s="145"/>
      <c r="T70" s="145"/>
      <c r="U70" s="145"/>
      <c r="V70" s="146"/>
    </row>
    <row r="71" spans="1:22" ht="22.5" customHeight="1">
      <c r="A71" s="69" t="s">
        <v>199</v>
      </c>
      <c r="B71" s="67"/>
      <c r="C71" s="67"/>
      <c r="D71" s="67"/>
      <c r="E71" s="67"/>
      <c r="F71" s="67"/>
      <c r="G71" s="67"/>
      <c r="H71" s="67"/>
      <c r="I71" s="67"/>
      <c r="J71" s="67"/>
      <c r="K71" s="67"/>
      <c r="L71" s="67"/>
      <c r="M71" s="81"/>
      <c r="N71" s="67"/>
      <c r="O71" s="68"/>
      <c r="P71" s="41" t="s">
        <v>161</v>
      </c>
      <c r="Q71" s="84"/>
      <c r="R71" s="85"/>
      <c r="S71" s="85"/>
      <c r="T71" s="85"/>
      <c r="U71" s="85"/>
      <c r="V71" s="86"/>
    </row>
    <row r="72" spans="1:22" ht="22.5" customHeight="1">
      <c r="A72" s="69" t="s">
        <v>200</v>
      </c>
      <c r="B72" s="67"/>
      <c r="C72" s="67"/>
      <c r="D72" s="67"/>
      <c r="E72" s="67"/>
      <c r="F72" s="67"/>
      <c r="G72" s="67"/>
      <c r="H72" s="67"/>
      <c r="I72" s="67"/>
      <c r="J72" s="67"/>
      <c r="K72" s="67"/>
      <c r="L72" s="67"/>
      <c r="M72" s="81"/>
      <c r="N72" s="67"/>
      <c r="O72" s="68"/>
      <c r="P72" s="44" t="s">
        <v>161</v>
      </c>
      <c r="Q72" s="84"/>
      <c r="R72" s="85"/>
      <c r="S72" s="85"/>
      <c r="T72" s="85"/>
      <c r="U72" s="85"/>
      <c r="V72" s="86"/>
    </row>
    <row r="73" spans="1:22" ht="22.5" customHeight="1">
      <c r="A73" s="69" t="s">
        <v>201</v>
      </c>
      <c r="B73" s="67"/>
      <c r="C73" s="67"/>
      <c r="D73" s="67"/>
      <c r="E73" s="67"/>
      <c r="F73" s="67"/>
      <c r="G73" s="67"/>
      <c r="H73" s="67"/>
      <c r="I73" s="67"/>
      <c r="J73" s="67"/>
      <c r="K73" s="67"/>
      <c r="L73" s="67"/>
      <c r="M73" s="81"/>
      <c r="N73" s="67"/>
      <c r="O73" s="68"/>
      <c r="P73" s="44" t="s">
        <v>161</v>
      </c>
      <c r="Q73" s="84"/>
      <c r="R73" s="85"/>
      <c r="S73" s="85"/>
      <c r="T73" s="85"/>
      <c r="U73" s="85"/>
      <c r="V73" s="86"/>
    </row>
    <row r="74" spans="1:22" ht="22.5" customHeight="1">
      <c r="A74" s="69" t="s">
        <v>202</v>
      </c>
      <c r="B74" s="67"/>
      <c r="C74" s="67"/>
      <c r="D74" s="67"/>
      <c r="E74" s="67"/>
      <c r="F74" s="67"/>
      <c r="G74" s="67"/>
      <c r="H74" s="67"/>
      <c r="I74" s="67"/>
      <c r="J74" s="67"/>
      <c r="K74" s="67"/>
      <c r="L74" s="68"/>
      <c r="M74" s="81"/>
      <c r="N74" s="67"/>
      <c r="O74" s="68"/>
      <c r="P74" s="44" t="s">
        <v>161</v>
      </c>
      <c r="Q74" s="84"/>
      <c r="R74" s="85"/>
      <c r="S74" s="85"/>
      <c r="T74" s="85"/>
      <c r="U74" s="85"/>
      <c r="V74" s="86"/>
    </row>
    <row r="75" spans="1:22" ht="22.5" customHeight="1">
      <c r="A75" s="69" t="s">
        <v>203</v>
      </c>
      <c r="B75" s="67"/>
      <c r="C75" s="67"/>
      <c r="D75" s="67"/>
      <c r="E75" s="67"/>
      <c r="F75" s="67"/>
      <c r="G75" s="67"/>
      <c r="H75" s="67"/>
      <c r="I75" s="67"/>
      <c r="J75" s="67"/>
      <c r="K75" s="67"/>
      <c r="L75" s="67"/>
      <c r="M75" s="81"/>
      <c r="N75" s="67"/>
      <c r="O75" s="68"/>
      <c r="P75" s="44" t="s">
        <v>161</v>
      </c>
      <c r="Q75" s="84"/>
      <c r="R75" s="85"/>
      <c r="S75" s="85"/>
      <c r="T75" s="85"/>
      <c r="U75" s="85"/>
      <c r="V75" s="86"/>
    </row>
    <row r="76" spans="1:22" ht="22.5" customHeight="1">
      <c r="A76" s="69" t="s">
        <v>204</v>
      </c>
      <c r="B76" s="67"/>
      <c r="C76" s="67"/>
      <c r="D76" s="67"/>
      <c r="E76" s="67"/>
      <c r="F76" s="67"/>
      <c r="G76" s="67"/>
      <c r="H76" s="67"/>
      <c r="I76" s="67"/>
      <c r="J76" s="67"/>
      <c r="K76" s="67"/>
      <c r="L76" s="67"/>
      <c r="M76" s="81"/>
      <c r="N76" s="67"/>
      <c r="O76" s="68"/>
      <c r="P76" s="44" t="s">
        <v>161</v>
      </c>
      <c r="Q76" s="84"/>
      <c r="R76" s="85"/>
      <c r="S76" s="85"/>
      <c r="T76" s="85"/>
      <c r="U76" s="85"/>
      <c r="V76" s="86"/>
    </row>
    <row r="77" spans="1:22" ht="22.5" customHeight="1">
      <c r="A77" s="69" t="s">
        <v>205</v>
      </c>
      <c r="B77" s="67"/>
      <c r="C77" s="67"/>
      <c r="D77" s="67"/>
      <c r="E77" s="67"/>
      <c r="F77" s="67"/>
      <c r="G77" s="67"/>
      <c r="H77" s="67"/>
      <c r="I77" s="67"/>
      <c r="J77" s="67"/>
      <c r="K77" s="67"/>
      <c r="L77" s="67"/>
      <c r="M77" s="81"/>
      <c r="N77" s="67"/>
      <c r="O77" s="68"/>
      <c r="P77" s="44" t="s">
        <v>161</v>
      </c>
      <c r="Q77" s="84"/>
      <c r="R77" s="85"/>
      <c r="S77" s="85"/>
      <c r="T77" s="85"/>
      <c r="U77" s="85"/>
      <c r="V77" s="86"/>
    </row>
    <row r="78" spans="1:22" ht="22.5" customHeight="1">
      <c r="A78" s="90" t="s">
        <v>206</v>
      </c>
      <c r="B78" s="82"/>
      <c r="C78" s="82"/>
      <c r="D78" s="82"/>
      <c r="E78" s="82"/>
      <c r="F78" s="82"/>
      <c r="G78" s="82"/>
      <c r="H78" s="82"/>
      <c r="I78" s="82"/>
      <c r="J78" s="82"/>
      <c r="K78" s="82"/>
      <c r="L78" s="82"/>
      <c r="M78" s="97"/>
      <c r="N78" s="82"/>
      <c r="O78" s="83"/>
      <c r="P78" s="99"/>
      <c r="Q78" s="67"/>
      <c r="R78" s="67"/>
      <c r="S78" s="67"/>
      <c r="T78" s="67"/>
      <c r="U78" s="67"/>
      <c r="V78" s="68"/>
    </row>
    <row r="79" spans="1:22" ht="22.5" customHeight="1">
      <c r="A79" s="103"/>
      <c r="B79" s="104"/>
      <c r="C79" s="104"/>
      <c r="D79" s="104"/>
      <c r="E79" s="104"/>
      <c r="F79" s="104"/>
      <c r="G79" s="104"/>
      <c r="H79" s="104"/>
      <c r="I79" s="104"/>
      <c r="J79" s="104"/>
      <c r="K79" s="104"/>
      <c r="L79" s="104"/>
      <c r="M79" s="103"/>
      <c r="N79" s="104"/>
      <c r="O79" s="105"/>
      <c r="P79" s="100"/>
      <c r="Q79" s="95"/>
      <c r="R79" s="95"/>
      <c r="S79" s="95"/>
      <c r="T79" s="95"/>
      <c r="U79" s="95"/>
      <c r="V79" s="96"/>
    </row>
    <row r="80" spans="1:22" ht="22.5" customHeight="1">
      <c r="A80" s="103"/>
      <c r="B80" s="104"/>
      <c r="C80" s="104"/>
      <c r="D80" s="104"/>
      <c r="E80" s="104"/>
      <c r="F80" s="104"/>
      <c r="G80" s="104"/>
      <c r="H80" s="104"/>
      <c r="I80" s="104"/>
      <c r="J80" s="104"/>
      <c r="K80" s="104"/>
      <c r="L80" s="104"/>
      <c r="M80" s="103"/>
      <c r="N80" s="104"/>
      <c r="O80" s="105"/>
      <c r="P80" s="108"/>
      <c r="Q80" s="95"/>
      <c r="R80" s="95"/>
      <c r="S80" s="95"/>
      <c r="T80" s="95"/>
      <c r="U80" s="95"/>
      <c r="V80" s="96"/>
    </row>
    <row r="81" spans="1:22" ht="30" customHeight="1">
      <c r="A81" s="94"/>
      <c r="B81" s="95"/>
      <c r="C81" s="95"/>
      <c r="D81" s="95"/>
      <c r="E81" s="95"/>
      <c r="F81" s="95"/>
      <c r="G81" s="95"/>
      <c r="H81" s="95"/>
      <c r="I81" s="95"/>
      <c r="J81" s="95"/>
      <c r="K81" s="95"/>
      <c r="L81" s="95"/>
      <c r="M81" s="94"/>
      <c r="N81" s="95"/>
      <c r="O81" s="96"/>
      <c r="P81" s="109"/>
      <c r="Q81" s="95"/>
      <c r="R81" s="95"/>
      <c r="S81" s="95"/>
      <c r="T81" s="95"/>
      <c r="U81" s="95"/>
      <c r="V81" s="96"/>
    </row>
    <row r="82" spans="1:22" ht="22.5" customHeight="1">
      <c r="A82" s="90" t="s">
        <v>207</v>
      </c>
      <c r="B82" s="82"/>
      <c r="C82" s="82"/>
      <c r="D82" s="82"/>
      <c r="E82" s="82"/>
      <c r="F82" s="82"/>
      <c r="G82" s="82"/>
      <c r="H82" s="82"/>
      <c r="I82" s="82"/>
      <c r="J82" s="82"/>
      <c r="K82" s="82"/>
      <c r="L82" s="82"/>
      <c r="M82" s="97"/>
      <c r="N82" s="82"/>
      <c r="O82" s="83"/>
      <c r="P82" s="99"/>
      <c r="Q82" s="67"/>
      <c r="R82" s="67"/>
      <c r="S82" s="67"/>
      <c r="T82" s="67"/>
      <c r="U82" s="67"/>
      <c r="V82" s="68"/>
    </row>
    <row r="83" spans="1:22" ht="22.5" customHeight="1">
      <c r="A83" s="103"/>
      <c r="B83" s="104"/>
      <c r="C83" s="104"/>
      <c r="D83" s="104"/>
      <c r="E83" s="104"/>
      <c r="F83" s="104"/>
      <c r="G83" s="104"/>
      <c r="H83" s="104"/>
      <c r="I83" s="104"/>
      <c r="J83" s="104"/>
      <c r="K83" s="104"/>
      <c r="L83" s="104"/>
      <c r="M83" s="103"/>
      <c r="N83" s="104"/>
      <c r="O83" s="105"/>
      <c r="P83" s="100"/>
      <c r="Q83" s="95"/>
      <c r="R83" s="95"/>
      <c r="S83" s="95"/>
      <c r="T83" s="95"/>
      <c r="U83" s="95"/>
      <c r="V83" s="96"/>
    </row>
    <row r="84" spans="1:22" ht="22.5" customHeight="1">
      <c r="A84" s="103"/>
      <c r="B84" s="104"/>
      <c r="C84" s="104"/>
      <c r="D84" s="104"/>
      <c r="E84" s="104"/>
      <c r="F84" s="104"/>
      <c r="G84" s="104"/>
      <c r="H84" s="104"/>
      <c r="I84" s="104"/>
      <c r="J84" s="104"/>
      <c r="K84" s="104"/>
      <c r="L84" s="104"/>
      <c r="M84" s="103"/>
      <c r="N84" s="104"/>
      <c r="O84" s="105"/>
      <c r="P84" s="108"/>
      <c r="Q84" s="95"/>
      <c r="R84" s="95"/>
      <c r="S84" s="95"/>
      <c r="T84" s="95"/>
      <c r="U84" s="95"/>
      <c r="V84" s="96"/>
    </row>
    <row r="85" spans="1:22" ht="30" customHeight="1">
      <c r="A85" s="103"/>
      <c r="B85" s="104"/>
      <c r="C85" s="104"/>
      <c r="D85" s="104"/>
      <c r="E85" s="104"/>
      <c r="F85" s="104"/>
      <c r="G85" s="104"/>
      <c r="H85" s="104"/>
      <c r="I85" s="104"/>
      <c r="J85" s="104"/>
      <c r="K85" s="104"/>
      <c r="L85" s="104"/>
      <c r="M85" s="94"/>
      <c r="N85" s="95"/>
      <c r="O85" s="96"/>
      <c r="P85" s="100"/>
      <c r="Q85" s="95"/>
      <c r="R85" s="95"/>
      <c r="S85" s="95"/>
      <c r="T85" s="95"/>
      <c r="U85" s="95"/>
      <c r="V85" s="96"/>
    </row>
    <row r="86" spans="1:22" ht="22.5" customHeight="1">
      <c r="A86" s="90" t="s">
        <v>208</v>
      </c>
      <c r="B86" s="82"/>
      <c r="C86" s="82"/>
      <c r="D86" s="82"/>
      <c r="E86" s="82"/>
      <c r="F86" s="82"/>
      <c r="G86" s="82"/>
      <c r="H86" s="82"/>
      <c r="I86" s="82"/>
      <c r="J86" s="82"/>
      <c r="K86" s="82"/>
      <c r="L86" s="83"/>
      <c r="M86" s="97"/>
      <c r="N86" s="82"/>
      <c r="O86" s="83"/>
      <c r="P86" s="99"/>
      <c r="Q86" s="67"/>
      <c r="R86" s="67"/>
      <c r="S86" s="67"/>
      <c r="T86" s="67"/>
      <c r="U86" s="67"/>
      <c r="V86" s="68"/>
    </row>
    <row r="87" spans="1:22" ht="22.5" customHeight="1">
      <c r="A87" s="103"/>
      <c r="B87" s="104"/>
      <c r="C87" s="104"/>
      <c r="D87" s="104"/>
      <c r="E87" s="104"/>
      <c r="F87" s="104"/>
      <c r="G87" s="104"/>
      <c r="H87" s="104"/>
      <c r="I87" s="104"/>
      <c r="J87" s="104"/>
      <c r="K87" s="104"/>
      <c r="L87" s="105"/>
      <c r="M87" s="103"/>
      <c r="N87" s="104"/>
      <c r="O87" s="105"/>
      <c r="P87" s="108"/>
      <c r="Q87" s="95"/>
      <c r="R87" s="95"/>
      <c r="S87" s="95"/>
      <c r="T87" s="95"/>
      <c r="U87" s="95"/>
      <c r="V87" s="96"/>
    </row>
    <row r="88" spans="1:22" ht="22.5" customHeight="1">
      <c r="A88" s="94"/>
      <c r="B88" s="95"/>
      <c r="C88" s="95"/>
      <c r="D88" s="95"/>
      <c r="E88" s="95"/>
      <c r="F88" s="95"/>
      <c r="G88" s="95"/>
      <c r="H88" s="95"/>
      <c r="I88" s="95"/>
      <c r="J88" s="95"/>
      <c r="K88" s="95"/>
      <c r="L88" s="96"/>
      <c r="M88" s="94"/>
      <c r="N88" s="95"/>
      <c r="O88" s="96"/>
      <c r="P88" s="100"/>
      <c r="Q88" s="95"/>
      <c r="R88" s="95"/>
      <c r="S88" s="95"/>
      <c r="T88" s="95"/>
      <c r="U88" s="95"/>
      <c r="V88" s="96"/>
    </row>
    <row r="89" spans="1:22" ht="30" customHeight="1">
      <c r="A89" s="90" t="s">
        <v>209</v>
      </c>
      <c r="B89" s="82"/>
      <c r="C89" s="82"/>
      <c r="D89" s="82"/>
      <c r="E89" s="82"/>
      <c r="F89" s="82"/>
      <c r="G89" s="82"/>
      <c r="H89" s="82"/>
      <c r="I89" s="82"/>
      <c r="J89" s="82"/>
      <c r="K89" s="82"/>
      <c r="L89" s="82"/>
      <c r="M89" s="97"/>
      <c r="N89" s="82"/>
      <c r="O89" s="83"/>
      <c r="P89" s="69"/>
      <c r="Q89" s="67"/>
      <c r="R89" s="67"/>
      <c r="S89" s="67"/>
      <c r="T89" s="67"/>
      <c r="U89" s="67"/>
      <c r="V89" s="68"/>
    </row>
    <row r="90" spans="1:22" ht="30" customHeight="1">
      <c r="A90" s="103"/>
      <c r="B90" s="104"/>
      <c r="C90" s="104"/>
      <c r="D90" s="104"/>
      <c r="E90" s="104"/>
      <c r="F90" s="104"/>
      <c r="G90" s="104"/>
      <c r="H90" s="104"/>
      <c r="I90" s="104"/>
      <c r="J90" s="104"/>
      <c r="K90" s="104"/>
      <c r="L90" s="104"/>
      <c r="M90" s="103"/>
      <c r="N90" s="104"/>
      <c r="O90" s="105"/>
      <c r="P90" s="100"/>
      <c r="Q90" s="95"/>
      <c r="R90" s="95"/>
      <c r="S90" s="95"/>
      <c r="T90" s="95"/>
      <c r="U90" s="95"/>
      <c r="V90" s="96"/>
    </row>
    <row r="91" spans="1:22" ht="30" customHeight="1">
      <c r="A91" s="103"/>
      <c r="B91" s="104"/>
      <c r="C91" s="104"/>
      <c r="D91" s="104"/>
      <c r="E91" s="104"/>
      <c r="F91" s="104"/>
      <c r="G91" s="104"/>
      <c r="H91" s="104"/>
      <c r="I91" s="104"/>
      <c r="J91" s="104"/>
      <c r="K91" s="104"/>
      <c r="L91" s="104"/>
      <c r="M91" s="103"/>
      <c r="N91" s="104"/>
      <c r="O91" s="105"/>
      <c r="P91" s="108"/>
      <c r="Q91" s="95"/>
      <c r="R91" s="95"/>
      <c r="S91" s="95"/>
      <c r="T91" s="95"/>
      <c r="U91" s="95"/>
      <c r="V91" s="96"/>
    </row>
    <row r="92" spans="1:22" ht="30" customHeight="1">
      <c r="A92" s="103"/>
      <c r="B92" s="104"/>
      <c r="C92" s="104"/>
      <c r="D92" s="104"/>
      <c r="E92" s="104"/>
      <c r="F92" s="104"/>
      <c r="G92" s="104"/>
      <c r="H92" s="104"/>
      <c r="I92" s="104"/>
      <c r="J92" s="104"/>
      <c r="K92" s="104"/>
      <c r="L92" s="104"/>
      <c r="M92" s="103"/>
      <c r="N92" s="104"/>
      <c r="O92" s="105"/>
      <c r="P92" s="100"/>
      <c r="Q92" s="95"/>
      <c r="R92" s="95"/>
      <c r="S92" s="95"/>
      <c r="T92" s="95"/>
      <c r="U92" s="95"/>
      <c r="V92" s="96"/>
    </row>
    <row r="93" spans="1:22" ht="30" customHeight="1">
      <c r="A93" s="94"/>
      <c r="B93" s="95"/>
      <c r="C93" s="95"/>
      <c r="D93" s="95"/>
      <c r="E93" s="95"/>
      <c r="F93" s="95"/>
      <c r="G93" s="95"/>
      <c r="H93" s="95"/>
      <c r="I93" s="95"/>
      <c r="J93" s="95"/>
      <c r="K93" s="95"/>
      <c r="L93" s="95"/>
      <c r="M93" s="94"/>
      <c r="N93" s="95"/>
      <c r="O93" s="96"/>
      <c r="P93" s="100"/>
      <c r="Q93" s="95"/>
      <c r="R93" s="95"/>
      <c r="S93" s="95"/>
      <c r="T93" s="95"/>
      <c r="U93" s="95"/>
      <c r="V93" s="96"/>
    </row>
    <row r="94" spans="1:22" ht="22.5" customHeight="1">
      <c r="A94" s="80" t="s">
        <v>210</v>
      </c>
      <c r="B94" s="67"/>
      <c r="C94" s="67"/>
      <c r="D94" s="67"/>
      <c r="E94" s="67"/>
      <c r="F94" s="67"/>
      <c r="G94" s="67"/>
      <c r="H94" s="67"/>
      <c r="I94" s="67"/>
      <c r="J94" s="67"/>
      <c r="K94" s="67"/>
      <c r="L94" s="68"/>
      <c r="M94" s="81"/>
      <c r="N94" s="67"/>
      <c r="O94" s="68"/>
      <c r="P94" s="69"/>
      <c r="Q94" s="67"/>
      <c r="R94" s="67"/>
      <c r="S94" s="67"/>
      <c r="T94" s="67"/>
      <c r="U94" s="67"/>
      <c r="V94" s="68"/>
    </row>
    <row r="95" spans="1:22" ht="22.5" customHeight="1">
      <c r="A95" s="80" t="s">
        <v>211</v>
      </c>
      <c r="B95" s="67"/>
      <c r="C95" s="67"/>
      <c r="D95" s="67"/>
      <c r="E95" s="67"/>
      <c r="F95" s="67"/>
      <c r="G95" s="67"/>
      <c r="H95" s="67"/>
      <c r="I95" s="67"/>
      <c r="J95" s="67"/>
      <c r="K95" s="67"/>
      <c r="L95" s="68"/>
      <c r="M95" s="81"/>
      <c r="N95" s="67"/>
      <c r="O95" s="68"/>
      <c r="P95" s="69"/>
      <c r="Q95" s="67"/>
      <c r="R95" s="67"/>
      <c r="S95" s="67"/>
      <c r="T95" s="67"/>
      <c r="U95" s="67"/>
      <c r="V95" s="68"/>
    </row>
    <row r="96" spans="1:22" ht="30" customHeight="1">
      <c r="A96" s="88" t="s">
        <v>212</v>
      </c>
      <c r="B96" s="67"/>
      <c r="C96" s="67"/>
      <c r="D96" s="67"/>
      <c r="E96" s="67"/>
      <c r="F96" s="67"/>
      <c r="G96" s="67"/>
      <c r="H96" s="67"/>
      <c r="I96" s="67"/>
      <c r="J96" s="67"/>
      <c r="K96" s="67"/>
      <c r="L96" s="67"/>
      <c r="M96" s="81"/>
      <c r="N96" s="67"/>
      <c r="O96" s="68"/>
      <c r="P96" s="69"/>
      <c r="Q96" s="67"/>
      <c r="R96" s="67"/>
      <c r="S96" s="67"/>
      <c r="T96" s="67"/>
      <c r="U96" s="67"/>
      <c r="V96" s="68"/>
    </row>
    <row r="97" spans="1:22" ht="30" customHeight="1">
      <c r="A97" s="134" t="s">
        <v>213</v>
      </c>
      <c r="B97" s="104"/>
      <c r="C97" s="104"/>
      <c r="D97" s="104"/>
      <c r="E97" s="104"/>
      <c r="F97" s="104"/>
      <c r="G97" s="104"/>
      <c r="H97" s="104"/>
      <c r="I97" s="104"/>
      <c r="J97" s="104"/>
      <c r="K97" s="104"/>
      <c r="L97" s="104"/>
      <c r="M97" s="97"/>
      <c r="N97" s="82"/>
      <c r="O97" s="83"/>
      <c r="P97" s="69"/>
      <c r="Q97" s="67"/>
      <c r="R97" s="67"/>
      <c r="S97" s="67"/>
      <c r="T97" s="67"/>
      <c r="U97" s="67"/>
      <c r="V97" s="68"/>
    </row>
    <row r="98" spans="1:22" ht="30" customHeight="1">
      <c r="A98" s="94"/>
      <c r="B98" s="95"/>
      <c r="C98" s="95"/>
      <c r="D98" s="95"/>
      <c r="E98" s="95"/>
      <c r="F98" s="95"/>
      <c r="G98" s="95"/>
      <c r="H98" s="95"/>
      <c r="I98" s="95"/>
      <c r="J98" s="95"/>
      <c r="K98" s="95"/>
      <c r="L98" s="95"/>
      <c r="M98" s="94"/>
      <c r="N98" s="95"/>
      <c r="O98" s="96"/>
      <c r="P98" s="100"/>
      <c r="Q98" s="95"/>
      <c r="R98" s="95"/>
      <c r="S98" s="95"/>
      <c r="T98" s="95"/>
      <c r="U98" s="95"/>
      <c r="V98" s="96"/>
    </row>
    <row r="99" spans="1:22" ht="30" customHeight="1">
      <c r="A99" s="90" t="s">
        <v>214</v>
      </c>
      <c r="B99" s="82"/>
      <c r="C99" s="82"/>
      <c r="D99" s="82"/>
      <c r="E99" s="82"/>
      <c r="F99" s="82"/>
      <c r="G99" s="82"/>
      <c r="H99" s="82"/>
      <c r="I99" s="82"/>
      <c r="J99" s="82"/>
      <c r="K99" s="82"/>
      <c r="L99" s="83"/>
      <c r="M99" s="126"/>
      <c r="N99" s="82"/>
      <c r="O99" s="83"/>
      <c r="P99" s="84"/>
      <c r="Q99" s="67"/>
      <c r="R99" s="67"/>
      <c r="S99" s="67"/>
      <c r="T99" s="67"/>
      <c r="U99" s="67"/>
      <c r="V99" s="68"/>
    </row>
    <row r="100" spans="1:22" ht="30" customHeight="1">
      <c r="A100" s="103"/>
      <c r="B100" s="104"/>
      <c r="C100" s="104"/>
      <c r="D100" s="104"/>
      <c r="E100" s="104"/>
      <c r="F100" s="104"/>
      <c r="G100" s="104"/>
      <c r="H100" s="104"/>
      <c r="I100" s="104"/>
      <c r="J100" s="104"/>
      <c r="K100" s="104"/>
      <c r="L100" s="105"/>
      <c r="M100" s="104"/>
      <c r="N100" s="104"/>
      <c r="O100" s="105"/>
      <c r="P100" s="122"/>
      <c r="Q100" s="95"/>
      <c r="R100" s="95"/>
      <c r="S100" s="95"/>
      <c r="T100" s="95"/>
      <c r="U100" s="95"/>
      <c r="V100" s="96"/>
    </row>
    <row r="101" spans="1:22" ht="30" customHeight="1">
      <c r="A101" s="94"/>
      <c r="B101" s="95"/>
      <c r="C101" s="95"/>
      <c r="D101" s="95"/>
      <c r="E101" s="95"/>
      <c r="F101" s="95"/>
      <c r="G101" s="95"/>
      <c r="H101" s="95"/>
      <c r="I101" s="95"/>
      <c r="J101" s="95"/>
      <c r="K101" s="95"/>
      <c r="L101" s="96"/>
      <c r="M101" s="95"/>
      <c r="N101" s="95"/>
      <c r="O101" s="96"/>
      <c r="P101" s="122"/>
      <c r="Q101" s="95"/>
      <c r="R101" s="95"/>
      <c r="S101" s="95"/>
      <c r="T101" s="95"/>
      <c r="U101" s="95"/>
      <c r="V101" s="96"/>
    </row>
    <row r="102" spans="1:22" ht="22.5" customHeight="1">
      <c r="A102" s="90" t="s">
        <v>215</v>
      </c>
      <c r="B102" s="82"/>
      <c r="C102" s="82"/>
      <c r="D102" s="82"/>
      <c r="E102" s="82"/>
      <c r="F102" s="82"/>
      <c r="G102" s="82"/>
      <c r="H102" s="82"/>
      <c r="I102" s="82"/>
      <c r="J102" s="82"/>
      <c r="K102" s="82"/>
      <c r="L102" s="83"/>
      <c r="M102" s="126"/>
      <c r="N102" s="82"/>
      <c r="O102" s="83"/>
      <c r="P102" s="137"/>
      <c r="Q102" s="67"/>
      <c r="R102" s="67"/>
      <c r="S102" s="67"/>
      <c r="T102" s="67"/>
      <c r="U102" s="67"/>
      <c r="V102" s="68"/>
    </row>
    <row r="103" spans="1:22" ht="22.5" customHeight="1">
      <c r="A103" s="94"/>
      <c r="B103" s="95"/>
      <c r="C103" s="95"/>
      <c r="D103" s="95"/>
      <c r="E103" s="95"/>
      <c r="F103" s="95"/>
      <c r="G103" s="95"/>
      <c r="H103" s="95"/>
      <c r="I103" s="95"/>
      <c r="J103" s="95"/>
      <c r="K103" s="95"/>
      <c r="L103" s="96"/>
      <c r="M103" s="95"/>
      <c r="N103" s="95"/>
      <c r="O103" s="96"/>
      <c r="P103" s="42" t="s">
        <v>161</v>
      </c>
      <c r="Q103" s="84"/>
      <c r="R103" s="85"/>
      <c r="S103" s="85"/>
      <c r="T103" s="85"/>
      <c r="U103" s="85"/>
      <c r="V103" s="86"/>
    </row>
    <row r="104" spans="1:22" ht="12.75" customHeight="1">
      <c r="A104" s="78" t="s">
        <v>216</v>
      </c>
      <c r="B104" s="67"/>
      <c r="C104" s="67"/>
      <c r="D104" s="67"/>
      <c r="E104" s="67"/>
      <c r="F104" s="67"/>
      <c r="G104" s="67"/>
      <c r="H104" s="67"/>
      <c r="I104" s="67"/>
      <c r="J104" s="67"/>
      <c r="K104" s="67"/>
      <c r="L104" s="67"/>
      <c r="M104" s="67"/>
      <c r="N104" s="67"/>
      <c r="O104" s="67"/>
      <c r="P104" s="67"/>
      <c r="Q104" s="67"/>
      <c r="R104" s="67"/>
      <c r="S104" s="67"/>
      <c r="T104" s="67"/>
      <c r="U104" s="67"/>
      <c r="V104" s="68"/>
    </row>
    <row r="105" spans="1:22" ht="22.5" customHeight="1">
      <c r="A105" s="50" t="s">
        <v>217</v>
      </c>
      <c r="B105" s="67"/>
      <c r="C105" s="67"/>
      <c r="D105" s="67"/>
      <c r="E105" s="67"/>
      <c r="F105" s="67"/>
      <c r="G105" s="67"/>
      <c r="H105" s="67"/>
      <c r="I105" s="67"/>
      <c r="J105" s="67"/>
      <c r="K105" s="67"/>
      <c r="L105" s="68"/>
      <c r="M105" s="81"/>
      <c r="N105" s="67"/>
      <c r="O105" s="68"/>
      <c r="P105" s="54"/>
      <c r="Q105" s="95"/>
      <c r="R105" s="95"/>
      <c r="S105" s="95"/>
      <c r="T105" s="95"/>
      <c r="U105" s="95"/>
      <c r="V105" s="96"/>
    </row>
    <row r="106" spans="1:22" ht="22.5" customHeight="1">
      <c r="A106" s="54" t="s">
        <v>218</v>
      </c>
      <c r="B106" s="95"/>
      <c r="C106" s="95"/>
      <c r="D106" s="95"/>
      <c r="E106" s="95"/>
      <c r="F106" s="95"/>
      <c r="G106" s="95"/>
      <c r="H106" s="95"/>
      <c r="I106" s="95"/>
      <c r="J106" s="95"/>
      <c r="K106" s="95"/>
      <c r="L106" s="95"/>
      <c r="M106" s="81"/>
      <c r="N106" s="67"/>
      <c r="O106" s="68"/>
      <c r="P106" s="54"/>
      <c r="Q106" s="95"/>
      <c r="R106" s="95"/>
      <c r="S106" s="95"/>
      <c r="T106" s="95"/>
      <c r="U106" s="95"/>
      <c r="V106" s="96"/>
    </row>
    <row r="107" spans="1:22" ht="30" customHeight="1">
      <c r="A107" s="91" t="s">
        <v>219</v>
      </c>
      <c r="B107" s="67"/>
      <c r="C107" s="67"/>
      <c r="D107" s="67"/>
      <c r="E107" s="67"/>
      <c r="F107" s="67"/>
      <c r="G107" s="67"/>
      <c r="H107" s="67"/>
      <c r="I107" s="67"/>
      <c r="J107" s="67"/>
      <c r="K107" s="67"/>
      <c r="L107" s="67"/>
      <c r="M107" s="138"/>
      <c r="N107" s="67"/>
      <c r="O107" s="68"/>
      <c r="P107" s="42" t="s">
        <v>161</v>
      </c>
      <c r="Q107" s="84"/>
      <c r="R107" s="85"/>
      <c r="S107" s="85"/>
      <c r="T107" s="85"/>
      <c r="U107" s="85"/>
      <c r="V107" s="86"/>
    </row>
    <row r="108" spans="1:22" ht="30" customHeight="1">
      <c r="A108" s="54" t="s">
        <v>220</v>
      </c>
      <c r="B108" s="95"/>
      <c r="C108" s="95"/>
      <c r="D108" s="95"/>
      <c r="E108" s="95"/>
      <c r="F108" s="95"/>
      <c r="G108" s="95"/>
      <c r="H108" s="95"/>
      <c r="I108" s="95"/>
      <c r="J108" s="95"/>
      <c r="K108" s="95"/>
      <c r="L108" s="95"/>
      <c r="M108" s="81"/>
      <c r="N108" s="67"/>
      <c r="O108" s="68"/>
      <c r="P108" s="44" t="s">
        <v>161</v>
      </c>
      <c r="Q108" s="84"/>
      <c r="R108" s="85"/>
      <c r="S108" s="85"/>
      <c r="T108" s="85"/>
      <c r="U108" s="85"/>
      <c r="V108" s="86"/>
    </row>
    <row r="109" spans="1:22" ht="22.5" customHeight="1">
      <c r="A109" s="69" t="s">
        <v>221</v>
      </c>
      <c r="B109" s="67"/>
      <c r="C109" s="67"/>
      <c r="D109" s="67"/>
      <c r="E109" s="67"/>
      <c r="F109" s="67"/>
      <c r="G109" s="67"/>
      <c r="H109" s="67"/>
      <c r="I109" s="67"/>
      <c r="J109" s="67"/>
      <c r="K109" s="67"/>
      <c r="L109" s="67"/>
      <c r="M109" s="81"/>
      <c r="N109" s="67"/>
      <c r="O109" s="68"/>
      <c r="P109" s="44" t="s">
        <v>161</v>
      </c>
      <c r="Q109" s="84"/>
      <c r="R109" s="85"/>
      <c r="S109" s="85"/>
      <c r="T109" s="85"/>
      <c r="U109" s="85"/>
      <c r="V109" s="86"/>
    </row>
    <row r="110" spans="1:22" ht="30" customHeight="1">
      <c r="A110" s="88" t="s">
        <v>222</v>
      </c>
      <c r="B110" s="67"/>
      <c r="C110" s="67"/>
      <c r="D110" s="67"/>
      <c r="E110" s="67"/>
      <c r="F110" s="67"/>
      <c r="G110" s="67"/>
      <c r="H110" s="67"/>
      <c r="I110" s="67"/>
      <c r="J110" s="67"/>
      <c r="K110" s="67"/>
      <c r="L110" s="67"/>
      <c r="M110" s="81"/>
      <c r="N110" s="67"/>
      <c r="O110" s="68"/>
      <c r="P110" s="44" t="s">
        <v>161</v>
      </c>
      <c r="Q110" s="84"/>
      <c r="R110" s="85"/>
      <c r="S110" s="85"/>
      <c r="T110" s="85"/>
      <c r="U110" s="85"/>
      <c r="V110" s="86"/>
    </row>
    <row r="111" spans="1:22" ht="30" customHeight="1">
      <c r="A111" s="134" t="s">
        <v>213</v>
      </c>
      <c r="B111" s="104"/>
      <c r="C111" s="104"/>
      <c r="D111" s="104"/>
      <c r="E111" s="104"/>
      <c r="F111" s="104"/>
      <c r="G111" s="104"/>
      <c r="H111" s="104"/>
      <c r="I111" s="104"/>
      <c r="J111" s="104"/>
      <c r="K111" s="104"/>
      <c r="L111" s="104"/>
      <c r="M111" s="97"/>
      <c r="N111" s="82"/>
      <c r="O111" s="83"/>
      <c r="P111" s="100"/>
      <c r="Q111" s="95"/>
      <c r="R111" s="95"/>
      <c r="S111" s="95"/>
      <c r="T111" s="95"/>
      <c r="U111" s="95"/>
      <c r="V111" s="96"/>
    </row>
    <row r="112" spans="1:22" ht="30" customHeight="1">
      <c r="A112" s="94"/>
      <c r="B112" s="95"/>
      <c r="C112" s="95"/>
      <c r="D112" s="95"/>
      <c r="E112" s="95"/>
      <c r="F112" s="95"/>
      <c r="G112" s="95"/>
      <c r="H112" s="95"/>
      <c r="I112" s="95"/>
      <c r="J112" s="95"/>
      <c r="K112" s="95"/>
      <c r="L112" s="95"/>
      <c r="M112" s="94"/>
      <c r="N112" s="95"/>
      <c r="O112" s="96"/>
      <c r="P112" s="100"/>
      <c r="Q112" s="95"/>
      <c r="R112" s="95"/>
      <c r="S112" s="95"/>
      <c r="T112" s="95"/>
      <c r="U112" s="95"/>
      <c r="V112" s="96"/>
    </row>
    <row r="113" spans="1:22" ht="30" customHeight="1">
      <c r="A113" s="52" t="s">
        <v>214</v>
      </c>
      <c r="B113" s="82"/>
      <c r="C113" s="82"/>
      <c r="D113" s="82"/>
      <c r="E113" s="82"/>
      <c r="F113" s="82"/>
      <c r="G113" s="82"/>
      <c r="H113" s="82"/>
      <c r="I113" s="82"/>
      <c r="J113" s="82"/>
      <c r="K113" s="82"/>
      <c r="L113" s="83"/>
      <c r="M113" s="97"/>
      <c r="N113" s="82"/>
      <c r="O113" s="83"/>
      <c r="P113" s="54"/>
      <c r="Q113" s="95"/>
      <c r="R113" s="95"/>
      <c r="S113" s="95"/>
      <c r="T113" s="95"/>
      <c r="U113" s="95"/>
      <c r="V113" s="96"/>
    </row>
    <row r="114" spans="1:22" ht="30" customHeight="1">
      <c r="A114" s="103"/>
      <c r="B114" s="104"/>
      <c r="C114" s="104"/>
      <c r="D114" s="104"/>
      <c r="E114" s="104"/>
      <c r="F114" s="104"/>
      <c r="G114" s="104"/>
      <c r="H114" s="104"/>
      <c r="I114" s="104"/>
      <c r="J114" s="104"/>
      <c r="K114" s="104"/>
      <c r="L114" s="105"/>
      <c r="M114" s="103"/>
      <c r="N114" s="104"/>
      <c r="O114" s="105"/>
      <c r="P114" s="100"/>
      <c r="Q114" s="95"/>
      <c r="R114" s="95"/>
      <c r="S114" s="95"/>
      <c r="T114" s="95"/>
      <c r="U114" s="95"/>
      <c r="V114" s="96"/>
    </row>
    <row r="115" spans="1:22" ht="30" customHeight="1">
      <c r="A115" s="94"/>
      <c r="B115" s="95"/>
      <c r="C115" s="95"/>
      <c r="D115" s="95"/>
      <c r="E115" s="95"/>
      <c r="F115" s="95"/>
      <c r="G115" s="95"/>
      <c r="H115" s="95"/>
      <c r="I115" s="95"/>
      <c r="J115" s="95"/>
      <c r="K115" s="95"/>
      <c r="L115" s="96"/>
      <c r="M115" s="94"/>
      <c r="N115" s="95"/>
      <c r="O115" s="96"/>
      <c r="P115" s="100"/>
      <c r="Q115" s="95"/>
      <c r="R115" s="95"/>
      <c r="S115" s="95"/>
      <c r="T115" s="95"/>
      <c r="U115" s="95"/>
      <c r="V115" s="96"/>
    </row>
    <row r="116" spans="1:22" ht="30" customHeight="1">
      <c r="A116" s="90" t="s">
        <v>223</v>
      </c>
      <c r="B116" s="82"/>
      <c r="C116" s="82"/>
      <c r="D116" s="82"/>
      <c r="E116" s="82"/>
      <c r="F116" s="82"/>
      <c r="G116" s="82"/>
      <c r="H116" s="82"/>
      <c r="I116" s="82"/>
      <c r="J116" s="82"/>
      <c r="K116" s="82"/>
      <c r="L116" s="83"/>
      <c r="M116" s="97"/>
      <c r="N116" s="82"/>
      <c r="O116" s="83"/>
      <c r="P116" s="69"/>
      <c r="Q116" s="67"/>
      <c r="R116" s="67"/>
      <c r="S116" s="67"/>
      <c r="T116" s="67"/>
      <c r="U116" s="67"/>
      <c r="V116" s="68"/>
    </row>
    <row r="117" spans="1:22" ht="30" customHeight="1">
      <c r="A117" s="103"/>
      <c r="B117" s="104"/>
      <c r="C117" s="104"/>
      <c r="D117" s="104"/>
      <c r="E117" s="104"/>
      <c r="F117" s="104"/>
      <c r="G117" s="104"/>
      <c r="H117" s="104"/>
      <c r="I117" s="104"/>
      <c r="J117" s="104"/>
      <c r="K117" s="104"/>
      <c r="L117" s="105"/>
      <c r="M117" s="103"/>
      <c r="N117" s="104"/>
      <c r="O117" s="105"/>
      <c r="P117" s="100"/>
      <c r="Q117" s="95"/>
      <c r="R117" s="95"/>
      <c r="S117" s="95"/>
      <c r="T117" s="95"/>
      <c r="U117" s="95"/>
      <c r="V117" s="96"/>
    </row>
    <row r="118" spans="1:22" ht="22.5" customHeight="1">
      <c r="A118" s="103"/>
      <c r="B118" s="104"/>
      <c r="C118" s="104"/>
      <c r="D118" s="104"/>
      <c r="E118" s="104"/>
      <c r="F118" s="104"/>
      <c r="G118" s="104"/>
      <c r="H118" s="104"/>
      <c r="I118" s="104"/>
      <c r="J118" s="104"/>
      <c r="K118" s="104"/>
      <c r="L118" s="105"/>
      <c r="M118" s="103"/>
      <c r="N118" s="104"/>
      <c r="O118" s="105"/>
      <c r="P118" s="100"/>
      <c r="Q118" s="95"/>
      <c r="R118" s="95"/>
      <c r="S118" s="95"/>
      <c r="T118" s="95"/>
      <c r="U118" s="95"/>
      <c r="V118" s="96"/>
    </row>
    <row r="119" spans="1:22" ht="22.5" customHeight="1">
      <c r="A119" s="94"/>
      <c r="B119" s="95"/>
      <c r="C119" s="95"/>
      <c r="D119" s="95"/>
      <c r="E119" s="95"/>
      <c r="F119" s="95"/>
      <c r="G119" s="95"/>
      <c r="H119" s="95"/>
      <c r="I119" s="95"/>
      <c r="J119" s="95"/>
      <c r="K119" s="95"/>
      <c r="L119" s="96"/>
      <c r="M119" s="94"/>
      <c r="N119" s="95"/>
      <c r="O119" s="96"/>
      <c r="P119" s="100"/>
      <c r="Q119" s="95"/>
      <c r="R119" s="95"/>
      <c r="S119" s="95"/>
      <c r="T119" s="95"/>
      <c r="U119" s="95"/>
      <c r="V119" s="96"/>
    </row>
    <row r="120" spans="1:22" ht="30" customHeight="1">
      <c r="A120" s="69" t="s">
        <v>224</v>
      </c>
      <c r="B120" s="67"/>
      <c r="C120" s="67"/>
      <c r="D120" s="67"/>
      <c r="E120" s="67"/>
      <c r="F120" s="67"/>
      <c r="G120" s="67"/>
      <c r="H120" s="67"/>
      <c r="I120" s="67"/>
      <c r="J120" s="67"/>
      <c r="K120" s="67"/>
      <c r="L120" s="68"/>
      <c r="M120" s="81"/>
      <c r="N120" s="67"/>
      <c r="O120" s="68"/>
      <c r="P120" s="42" t="s">
        <v>161</v>
      </c>
      <c r="Q120" s="84"/>
      <c r="R120" s="85"/>
      <c r="S120" s="85"/>
      <c r="T120" s="85"/>
      <c r="U120" s="85"/>
      <c r="V120" s="86"/>
    </row>
    <row r="121" spans="1:22" ht="22.5" customHeight="1">
      <c r="A121" s="135" t="s">
        <v>225</v>
      </c>
      <c r="B121" s="104"/>
      <c r="C121" s="104"/>
      <c r="D121" s="104"/>
      <c r="E121" s="104"/>
      <c r="F121" s="104"/>
      <c r="G121" s="104"/>
      <c r="H121" s="104"/>
      <c r="I121" s="104"/>
      <c r="J121" s="104"/>
      <c r="K121" s="104"/>
      <c r="L121" s="104"/>
      <c r="M121" s="97"/>
      <c r="N121" s="82"/>
      <c r="O121" s="83"/>
      <c r="P121" s="69"/>
      <c r="Q121" s="67"/>
      <c r="R121" s="67"/>
      <c r="S121" s="67"/>
      <c r="T121" s="67"/>
      <c r="U121" s="67"/>
      <c r="V121" s="68"/>
    </row>
    <row r="122" spans="1:22" ht="22.5" customHeight="1">
      <c r="A122" s="103"/>
      <c r="B122" s="104"/>
      <c r="C122" s="104"/>
      <c r="D122" s="104"/>
      <c r="E122" s="104"/>
      <c r="F122" s="104"/>
      <c r="G122" s="104"/>
      <c r="H122" s="104"/>
      <c r="I122" s="104"/>
      <c r="J122" s="104"/>
      <c r="K122" s="104"/>
      <c r="L122" s="104"/>
      <c r="M122" s="103"/>
      <c r="N122" s="104"/>
      <c r="O122" s="105"/>
      <c r="P122" s="100"/>
      <c r="Q122" s="95"/>
      <c r="R122" s="95"/>
      <c r="S122" s="95"/>
      <c r="T122" s="95"/>
      <c r="U122" s="95"/>
      <c r="V122" s="96"/>
    </row>
    <row r="123" spans="1:22" ht="22.5" customHeight="1">
      <c r="A123" s="94"/>
      <c r="B123" s="95"/>
      <c r="C123" s="95"/>
      <c r="D123" s="95"/>
      <c r="E123" s="95"/>
      <c r="F123" s="95"/>
      <c r="G123" s="95"/>
      <c r="H123" s="95"/>
      <c r="I123" s="95"/>
      <c r="J123" s="95"/>
      <c r="K123" s="95"/>
      <c r="L123" s="95"/>
      <c r="M123" s="94"/>
      <c r="N123" s="95"/>
      <c r="O123" s="96"/>
      <c r="P123" s="100"/>
      <c r="Q123" s="95"/>
      <c r="R123" s="95"/>
      <c r="S123" s="95"/>
      <c r="T123" s="95"/>
      <c r="U123" s="95"/>
      <c r="V123" s="96"/>
    </row>
    <row r="124" spans="1:22" ht="22.5" customHeight="1">
      <c r="A124" s="135" t="s">
        <v>226</v>
      </c>
      <c r="B124" s="104"/>
      <c r="C124" s="104"/>
      <c r="D124" s="104"/>
      <c r="E124" s="104"/>
      <c r="F124" s="104"/>
      <c r="G124" s="104"/>
      <c r="H124" s="104"/>
      <c r="I124" s="104"/>
      <c r="J124" s="104"/>
      <c r="K124" s="104"/>
      <c r="L124" s="104"/>
      <c r="M124" s="97"/>
      <c r="N124" s="82"/>
      <c r="O124" s="83"/>
      <c r="P124" s="90"/>
      <c r="Q124" s="82"/>
      <c r="R124" s="82"/>
      <c r="S124" s="82"/>
      <c r="T124" s="82"/>
      <c r="U124" s="82"/>
      <c r="V124" s="83"/>
    </row>
    <row r="125" spans="1:22" ht="22.5" customHeight="1">
      <c r="A125" s="103"/>
      <c r="B125" s="104"/>
      <c r="C125" s="104"/>
      <c r="D125" s="104"/>
      <c r="E125" s="104"/>
      <c r="F125" s="104"/>
      <c r="G125" s="104"/>
      <c r="H125" s="104"/>
      <c r="I125" s="104"/>
      <c r="J125" s="104"/>
      <c r="K125" s="104"/>
      <c r="L125" s="104"/>
      <c r="M125" s="103"/>
      <c r="N125" s="104"/>
      <c r="O125" s="105"/>
      <c r="P125" s="94"/>
      <c r="Q125" s="95"/>
      <c r="R125" s="95"/>
      <c r="S125" s="95"/>
      <c r="T125" s="95"/>
      <c r="U125" s="95"/>
      <c r="V125" s="96"/>
    </row>
    <row r="126" spans="1:22" ht="22.5" customHeight="1">
      <c r="A126" s="94"/>
      <c r="B126" s="95"/>
      <c r="C126" s="95"/>
      <c r="D126" s="95"/>
      <c r="E126" s="95"/>
      <c r="F126" s="95"/>
      <c r="G126" s="95"/>
      <c r="H126" s="95"/>
      <c r="I126" s="95"/>
      <c r="J126" s="95"/>
      <c r="K126" s="95"/>
      <c r="L126" s="95"/>
      <c r="M126" s="94"/>
      <c r="N126" s="95"/>
      <c r="O126" s="96"/>
      <c r="P126" s="69"/>
      <c r="Q126" s="67"/>
      <c r="R126" s="67"/>
      <c r="S126" s="67"/>
      <c r="T126" s="67"/>
      <c r="U126" s="67"/>
      <c r="V126" s="68"/>
    </row>
    <row r="127" spans="1:22" ht="22.5" customHeight="1">
      <c r="A127" s="135" t="s">
        <v>227</v>
      </c>
      <c r="B127" s="104"/>
      <c r="C127" s="104"/>
      <c r="D127" s="104"/>
      <c r="E127" s="104"/>
      <c r="F127" s="104"/>
      <c r="G127" s="104"/>
      <c r="H127" s="104"/>
      <c r="I127" s="104"/>
      <c r="J127" s="104"/>
      <c r="K127" s="104"/>
      <c r="L127" s="104"/>
      <c r="M127" s="97"/>
      <c r="N127" s="82"/>
      <c r="O127" s="83"/>
      <c r="P127" s="90"/>
      <c r="Q127" s="82"/>
      <c r="R127" s="82"/>
      <c r="S127" s="82"/>
      <c r="T127" s="82"/>
      <c r="U127" s="82"/>
      <c r="V127" s="83"/>
    </row>
    <row r="128" spans="1:22" ht="22.5" customHeight="1">
      <c r="A128" s="103"/>
      <c r="B128" s="104"/>
      <c r="C128" s="104"/>
      <c r="D128" s="104"/>
      <c r="E128" s="104"/>
      <c r="F128" s="104"/>
      <c r="G128" s="104"/>
      <c r="H128" s="104"/>
      <c r="I128" s="104"/>
      <c r="J128" s="104"/>
      <c r="K128" s="104"/>
      <c r="L128" s="104"/>
      <c r="M128" s="103"/>
      <c r="N128" s="104"/>
      <c r="O128" s="105"/>
      <c r="P128" s="94"/>
      <c r="Q128" s="95"/>
      <c r="R128" s="95"/>
      <c r="S128" s="95"/>
      <c r="T128" s="95"/>
      <c r="U128" s="95"/>
      <c r="V128" s="96"/>
    </row>
    <row r="129" spans="1:22" ht="22.5" customHeight="1">
      <c r="A129" s="103"/>
      <c r="B129" s="104"/>
      <c r="C129" s="104"/>
      <c r="D129" s="104"/>
      <c r="E129" s="104"/>
      <c r="F129" s="104"/>
      <c r="G129" s="104"/>
      <c r="H129" s="104"/>
      <c r="I129" s="104"/>
      <c r="J129" s="104"/>
      <c r="K129" s="104"/>
      <c r="L129" s="104"/>
      <c r="M129" s="103"/>
      <c r="N129" s="104"/>
      <c r="O129" s="105"/>
      <c r="P129" s="69"/>
      <c r="Q129" s="67"/>
      <c r="R129" s="67"/>
      <c r="S129" s="67"/>
      <c r="T129" s="67"/>
      <c r="U129" s="67"/>
      <c r="V129" s="68"/>
    </row>
    <row r="130" spans="1:22" ht="22.5" customHeight="1">
      <c r="A130" s="94"/>
      <c r="B130" s="95"/>
      <c r="C130" s="95"/>
      <c r="D130" s="95"/>
      <c r="E130" s="95"/>
      <c r="F130" s="95"/>
      <c r="G130" s="95"/>
      <c r="H130" s="95"/>
      <c r="I130" s="95"/>
      <c r="J130" s="95"/>
      <c r="K130" s="95"/>
      <c r="L130" s="95"/>
      <c r="M130" s="94"/>
      <c r="N130" s="95"/>
      <c r="O130" s="96"/>
      <c r="P130" s="69"/>
      <c r="Q130" s="67"/>
      <c r="R130" s="67"/>
      <c r="S130" s="67"/>
      <c r="T130" s="67"/>
      <c r="U130" s="67"/>
      <c r="V130" s="68"/>
    </row>
    <row r="131" spans="1:22" ht="22.5" customHeight="1">
      <c r="A131" s="135" t="s">
        <v>228</v>
      </c>
      <c r="B131" s="104"/>
      <c r="C131" s="104"/>
      <c r="D131" s="104"/>
      <c r="E131" s="104"/>
      <c r="F131" s="104"/>
      <c r="G131" s="104"/>
      <c r="H131" s="104"/>
      <c r="I131" s="104"/>
      <c r="J131" s="104"/>
      <c r="K131" s="104"/>
      <c r="L131" s="104"/>
      <c r="M131" s="97"/>
      <c r="N131" s="82"/>
      <c r="O131" s="83"/>
      <c r="P131" s="69"/>
      <c r="Q131" s="67"/>
      <c r="R131" s="67"/>
      <c r="S131" s="67"/>
      <c r="T131" s="67"/>
      <c r="U131" s="67"/>
      <c r="V131" s="68"/>
    </row>
    <row r="132" spans="1:22" ht="22.5" customHeight="1">
      <c r="A132" s="103"/>
      <c r="B132" s="104"/>
      <c r="C132" s="104"/>
      <c r="D132" s="104"/>
      <c r="E132" s="104"/>
      <c r="F132" s="104"/>
      <c r="G132" s="104"/>
      <c r="H132" s="104"/>
      <c r="I132" s="104"/>
      <c r="J132" s="104"/>
      <c r="K132" s="104"/>
      <c r="L132" s="104"/>
      <c r="M132" s="103"/>
      <c r="N132" s="104"/>
      <c r="O132" s="105"/>
      <c r="P132" s="69"/>
      <c r="Q132" s="67"/>
      <c r="R132" s="67"/>
      <c r="S132" s="67"/>
      <c r="T132" s="67"/>
      <c r="U132" s="67"/>
      <c r="V132" s="68"/>
    </row>
    <row r="133" spans="1:22" ht="22.5" customHeight="1">
      <c r="A133" s="94"/>
      <c r="B133" s="95"/>
      <c r="C133" s="95"/>
      <c r="D133" s="95"/>
      <c r="E133" s="95"/>
      <c r="F133" s="95"/>
      <c r="G133" s="95"/>
      <c r="H133" s="95"/>
      <c r="I133" s="95"/>
      <c r="J133" s="95"/>
      <c r="K133" s="95"/>
      <c r="L133" s="95"/>
      <c r="M133" s="94"/>
      <c r="N133" s="95"/>
      <c r="O133" s="96"/>
      <c r="P133" s="69"/>
      <c r="Q133" s="67"/>
      <c r="R133" s="67"/>
      <c r="S133" s="67"/>
      <c r="T133" s="67"/>
      <c r="U133" s="67"/>
      <c r="V133" s="68"/>
    </row>
    <row r="134" spans="1:22" ht="22.5" customHeight="1">
      <c r="A134" s="135" t="s">
        <v>229</v>
      </c>
      <c r="B134" s="104"/>
      <c r="C134" s="104"/>
      <c r="D134" s="104"/>
      <c r="E134" s="104"/>
      <c r="F134" s="104"/>
      <c r="G134" s="104"/>
      <c r="H134" s="104"/>
      <c r="I134" s="104"/>
      <c r="J134" s="104"/>
      <c r="K134" s="104"/>
      <c r="L134" s="104"/>
      <c r="M134" s="97"/>
      <c r="N134" s="82"/>
      <c r="O134" s="83"/>
      <c r="P134" s="69"/>
      <c r="Q134" s="67"/>
      <c r="R134" s="67"/>
      <c r="S134" s="67"/>
      <c r="T134" s="67"/>
      <c r="U134" s="67"/>
      <c r="V134" s="68"/>
    </row>
    <row r="135" spans="1:22" ht="22.5" customHeight="1">
      <c r="A135" s="103"/>
      <c r="B135" s="104"/>
      <c r="C135" s="104"/>
      <c r="D135" s="104"/>
      <c r="E135" s="104"/>
      <c r="F135" s="104"/>
      <c r="G135" s="104"/>
      <c r="H135" s="104"/>
      <c r="I135" s="104"/>
      <c r="J135" s="104"/>
      <c r="K135" s="104"/>
      <c r="L135" s="104"/>
      <c r="M135" s="103"/>
      <c r="N135" s="104"/>
      <c r="O135" s="105"/>
      <c r="P135" s="90"/>
      <c r="Q135" s="82"/>
      <c r="R135" s="82"/>
      <c r="S135" s="82"/>
      <c r="T135" s="82"/>
      <c r="U135" s="82"/>
      <c r="V135" s="83"/>
    </row>
    <row r="136" spans="1:22" ht="22.5" customHeight="1">
      <c r="A136" s="103"/>
      <c r="B136" s="104"/>
      <c r="C136" s="104"/>
      <c r="D136" s="104"/>
      <c r="E136" s="104"/>
      <c r="F136" s="104"/>
      <c r="G136" s="104"/>
      <c r="H136" s="104"/>
      <c r="I136" s="104"/>
      <c r="J136" s="104"/>
      <c r="K136" s="104"/>
      <c r="L136" s="104"/>
      <c r="M136" s="103"/>
      <c r="N136" s="104"/>
      <c r="O136" s="105"/>
      <c r="P136" s="94"/>
      <c r="Q136" s="95"/>
      <c r="R136" s="95"/>
      <c r="S136" s="95"/>
      <c r="T136" s="95"/>
      <c r="U136" s="95"/>
      <c r="V136" s="96"/>
    </row>
    <row r="137" spans="1:22" ht="22.5" customHeight="1">
      <c r="A137" s="103"/>
      <c r="B137" s="104"/>
      <c r="C137" s="104"/>
      <c r="D137" s="104"/>
      <c r="E137" s="104"/>
      <c r="F137" s="104"/>
      <c r="G137" s="104"/>
      <c r="H137" s="104"/>
      <c r="I137" s="104"/>
      <c r="J137" s="104"/>
      <c r="K137" s="104"/>
      <c r="L137" s="104"/>
      <c r="M137" s="103"/>
      <c r="N137" s="104"/>
      <c r="O137" s="105"/>
      <c r="P137" s="69"/>
      <c r="Q137" s="67"/>
      <c r="R137" s="67"/>
      <c r="S137" s="67"/>
      <c r="T137" s="67"/>
      <c r="U137" s="67"/>
      <c r="V137" s="68"/>
    </row>
    <row r="138" spans="1:22" ht="22.5" customHeight="1">
      <c r="A138" s="94"/>
      <c r="B138" s="95"/>
      <c r="C138" s="95"/>
      <c r="D138" s="95"/>
      <c r="E138" s="95"/>
      <c r="F138" s="95"/>
      <c r="G138" s="95"/>
      <c r="H138" s="95"/>
      <c r="I138" s="95"/>
      <c r="J138" s="95"/>
      <c r="K138" s="95"/>
      <c r="L138" s="95"/>
      <c r="M138" s="94"/>
      <c r="N138" s="95"/>
      <c r="O138" s="96"/>
      <c r="P138" s="69"/>
      <c r="Q138" s="67"/>
      <c r="R138" s="67"/>
      <c r="S138" s="67"/>
      <c r="T138" s="67"/>
      <c r="U138" s="67"/>
      <c r="V138" s="68"/>
    </row>
    <row r="139" spans="1:22" ht="22.5" customHeight="1">
      <c r="A139" s="136" t="s">
        <v>230</v>
      </c>
      <c r="B139" s="67"/>
      <c r="C139" s="67"/>
      <c r="D139" s="67"/>
      <c r="E139" s="67"/>
      <c r="F139" s="67"/>
      <c r="G139" s="67"/>
      <c r="H139" s="67"/>
      <c r="I139" s="67"/>
      <c r="J139" s="67"/>
      <c r="K139" s="67"/>
      <c r="L139" s="68"/>
      <c r="M139" s="81"/>
      <c r="N139" s="67"/>
      <c r="O139" s="68"/>
      <c r="P139" s="69"/>
      <c r="Q139" s="67"/>
      <c r="R139" s="67"/>
      <c r="S139" s="67"/>
      <c r="T139" s="67"/>
      <c r="U139" s="67"/>
      <c r="V139" s="68"/>
    </row>
    <row r="140" spans="1:22" ht="22.5" customHeight="1">
      <c r="A140" s="90" t="s">
        <v>215</v>
      </c>
      <c r="B140" s="82"/>
      <c r="C140" s="82"/>
      <c r="D140" s="82"/>
      <c r="E140" s="82"/>
      <c r="F140" s="82"/>
      <c r="G140" s="82"/>
      <c r="H140" s="82"/>
      <c r="I140" s="82"/>
      <c r="J140" s="82"/>
      <c r="K140" s="82"/>
      <c r="L140" s="83"/>
      <c r="M140" s="126"/>
      <c r="N140" s="82"/>
      <c r="O140" s="83"/>
      <c r="P140" s="137"/>
      <c r="Q140" s="67"/>
      <c r="R140" s="67"/>
      <c r="S140" s="67"/>
      <c r="T140" s="67"/>
      <c r="U140" s="67"/>
      <c r="V140" s="68"/>
    </row>
    <row r="141" spans="1:22" ht="22.5" customHeight="1">
      <c r="A141" s="94"/>
      <c r="B141" s="95"/>
      <c r="C141" s="95"/>
      <c r="D141" s="95"/>
      <c r="E141" s="95"/>
      <c r="F141" s="95"/>
      <c r="G141" s="95"/>
      <c r="H141" s="95"/>
      <c r="I141" s="95"/>
      <c r="J141" s="95"/>
      <c r="K141" s="95"/>
      <c r="L141" s="96"/>
      <c r="M141" s="95"/>
      <c r="N141" s="95"/>
      <c r="O141" s="96"/>
      <c r="P141" s="42" t="s">
        <v>161</v>
      </c>
      <c r="Q141" s="84"/>
      <c r="R141" s="139"/>
      <c r="S141" s="139"/>
      <c r="T141" s="139"/>
      <c r="U141" s="139"/>
      <c r="V141" s="140"/>
    </row>
    <row r="142" spans="1:22" ht="12.75" customHeight="1">
      <c r="A142" s="78" t="s">
        <v>231</v>
      </c>
      <c r="B142" s="67"/>
      <c r="C142" s="67"/>
      <c r="D142" s="67"/>
      <c r="E142" s="67"/>
      <c r="F142" s="67"/>
      <c r="G142" s="67"/>
      <c r="H142" s="67"/>
      <c r="I142" s="67"/>
      <c r="J142" s="67"/>
      <c r="K142" s="67"/>
      <c r="L142" s="67"/>
      <c r="M142" s="67"/>
      <c r="N142" s="67"/>
      <c r="O142" s="67"/>
      <c r="P142" s="67"/>
      <c r="Q142" s="67"/>
      <c r="R142" s="67"/>
      <c r="S142" s="67"/>
      <c r="T142" s="67"/>
      <c r="U142" s="67"/>
      <c r="V142" s="68"/>
    </row>
    <row r="143" spans="1:22" ht="30" customHeight="1">
      <c r="A143" s="69" t="s">
        <v>225</v>
      </c>
      <c r="B143" s="67"/>
      <c r="C143" s="67"/>
      <c r="D143" s="67"/>
      <c r="E143" s="67"/>
      <c r="F143" s="67"/>
      <c r="G143" s="67"/>
      <c r="H143" s="67"/>
      <c r="I143" s="67"/>
      <c r="J143" s="67"/>
      <c r="K143" s="67"/>
      <c r="L143" s="68"/>
      <c r="M143" s="81"/>
      <c r="N143" s="67"/>
      <c r="O143" s="68"/>
      <c r="P143" s="69"/>
      <c r="Q143" s="67"/>
      <c r="R143" s="67"/>
      <c r="S143" s="67"/>
      <c r="T143" s="67"/>
      <c r="U143" s="67"/>
      <c r="V143" s="68"/>
    </row>
    <row r="144" spans="1:22" ht="30" customHeight="1">
      <c r="A144" s="100" t="s">
        <v>226</v>
      </c>
      <c r="B144" s="95"/>
      <c r="C144" s="95"/>
      <c r="D144" s="95"/>
      <c r="E144" s="95"/>
      <c r="F144" s="95"/>
      <c r="G144" s="95"/>
      <c r="H144" s="95"/>
      <c r="I144" s="95"/>
      <c r="J144" s="95"/>
      <c r="K144" s="95"/>
      <c r="L144" s="95"/>
      <c r="M144" s="81"/>
      <c r="N144" s="67"/>
      <c r="O144" s="68"/>
      <c r="P144" s="69"/>
      <c r="Q144" s="67"/>
      <c r="R144" s="67"/>
      <c r="S144" s="67"/>
      <c r="T144" s="67"/>
      <c r="U144" s="67"/>
      <c r="V144" s="68"/>
    </row>
    <row r="145" spans="1:22" ht="30" customHeight="1">
      <c r="A145" s="100" t="s">
        <v>227</v>
      </c>
      <c r="B145" s="95"/>
      <c r="C145" s="95"/>
      <c r="D145" s="95"/>
      <c r="E145" s="95"/>
      <c r="F145" s="95"/>
      <c r="G145" s="95"/>
      <c r="H145" s="95"/>
      <c r="I145" s="95"/>
      <c r="J145" s="95"/>
      <c r="K145" s="95"/>
      <c r="L145" s="95"/>
      <c r="M145" s="81"/>
      <c r="N145" s="67"/>
      <c r="O145" s="68"/>
      <c r="P145" s="69"/>
      <c r="Q145" s="67"/>
      <c r="R145" s="67"/>
      <c r="S145" s="67"/>
      <c r="T145" s="67"/>
      <c r="U145" s="67"/>
      <c r="V145" s="68"/>
    </row>
    <row r="146" spans="1:22" ht="30" customHeight="1">
      <c r="A146" s="100" t="s">
        <v>228</v>
      </c>
      <c r="B146" s="95"/>
      <c r="C146" s="95"/>
      <c r="D146" s="95"/>
      <c r="E146" s="95"/>
      <c r="F146" s="95"/>
      <c r="G146" s="95"/>
      <c r="H146" s="95"/>
      <c r="I146" s="95"/>
      <c r="J146" s="95"/>
      <c r="K146" s="95"/>
      <c r="L146" s="95"/>
      <c r="M146" s="81"/>
      <c r="N146" s="67"/>
      <c r="O146" s="68"/>
      <c r="P146" s="69"/>
      <c r="Q146" s="67"/>
      <c r="R146" s="67"/>
      <c r="S146" s="67"/>
      <c r="T146" s="67"/>
      <c r="U146" s="67"/>
      <c r="V146" s="68"/>
    </row>
    <row r="147" spans="1:22" ht="30" customHeight="1">
      <c r="A147" s="69" t="s">
        <v>232</v>
      </c>
      <c r="B147" s="67"/>
      <c r="C147" s="67"/>
      <c r="D147" s="67"/>
      <c r="E147" s="67"/>
      <c r="F147" s="67"/>
      <c r="G147" s="67"/>
      <c r="H147" s="67"/>
      <c r="I147" s="67"/>
      <c r="J147" s="67"/>
      <c r="K147" s="67"/>
      <c r="L147" s="67"/>
      <c r="M147" s="81"/>
      <c r="N147" s="67"/>
      <c r="O147" s="68"/>
      <c r="P147" s="44" t="s">
        <v>161</v>
      </c>
      <c r="Q147" s="84"/>
      <c r="R147" s="85"/>
      <c r="S147" s="85"/>
      <c r="T147" s="85"/>
      <c r="U147" s="85"/>
      <c r="V147" s="86"/>
    </row>
    <row r="148" spans="1:22" ht="30" customHeight="1">
      <c r="A148" s="91" t="s">
        <v>233</v>
      </c>
      <c r="B148" s="67"/>
      <c r="C148" s="67"/>
      <c r="D148" s="67"/>
      <c r="E148" s="67"/>
      <c r="F148" s="67"/>
      <c r="G148" s="67"/>
      <c r="H148" s="67"/>
      <c r="I148" s="67"/>
      <c r="J148" s="67"/>
      <c r="K148" s="67"/>
      <c r="L148" s="67"/>
      <c r="M148" s="138"/>
      <c r="N148" s="67"/>
      <c r="O148" s="68"/>
      <c r="P148" s="45" t="s">
        <v>161</v>
      </c>
      <c r="Q148" s="137"/>
      <c r="R148" s="141"/>
      <c r="S148" s="141"/>
      <c r="T148" s="141"/>
      <c r="U148" s="141"/>
      <c r="V148" s="142"/>
    </row>
    <row r="149" spans="1:22" ht="22.5" customHeight="1">
      <c r="A149" s="135" t="s">
        <v>229</v>
      </c>
      <c r="B149" s="104"/>
      <c r="C149" s="104"/>
      <c r="D149" s="104"/>
      <c r="E149" s="104"/>
      <c r="F149" s="104"/>
      <c r="G149" s="104"/>
      <c r="H149" s="104"/>
      <c r="I149" s="104"/>
      <c r="J149" s="104"/>
      <c r="K149" s="104"/>
      <c r="L149" s="104"/>
      <c r="M149" s="97"/>
      <c r="N149" s="82"/>
      <c r="O149" s="83"/>
      <c r="P149" s="69"/>
      <c r="Q149" s="67"/>
      <c r="R149" s="67"/>
      <c r="S149" s="67"/>
      <c r="T149" s="67"/>
      <c r="U149" s="67"/>
      <c r="V149" s="68"/>
    </row>
    <row r="150" spans="1:22" ht="30" customHeight="1">
      <c r="A150" s="94"/>
      <c r="B150" s="95"/>
      <c r="C150" s="95"/>
      <c r="D150" s="95"/>
      <c r="E150" s="95"/>
      <c r="F150" s="95"/>
      <c r="G150" s="95"/>
      <c r="H150" s="95"/>
      <c r="I150" s="95"/>
      <c r="J150" s="95"/>
      <c r="K150" s="95"/>
      <c r="L150" s="95"/>
      <c r="M150" s="94"/>
      <c r="N150" s="95"/>
      <c r="O150" s="96"/>
      <c r="P150" s="69"/>
      <c r="Q150" s="67"/>
      <c r="R150" s="67"/>
      <c r="S150" s="67"/>
      <c r="T150" s="67"/>
      <c r="U150" s="67"/>
      <c r="V150" s="68"/>
    </row>
    <row r="151" spans="1:22" ht="22.5" customHeight="1">
      <c r="A151" s="135" t="s">
        <v>215</v>
      </c>
      <c r="B151" s="104"/>
      <c r="C151" s="104"/>
      <c r="D151" s="104"/>
      <c r="E151" s="104"/>
      <c r="F151" s="104"/>
      <c r="G151" s="104"/>
      <c r="H151" s="104"/>
      <c r="I151" s="104"/>
      <c r="J151" s="104"/>
      <c r="K151" s="104"/>
      <c r="L151" s="104"/>
      <c r="M151" s="97"/>
      <c r="N151" s="82"/>
      <c r="O151" s="83"/>
      <c r="P151" s="52"/>
      <c r="Q151" s="82"/>
      <c r="R151" s="82"/>
      <c r="S151" s="82"/>
      <c r="T151" s="82"/>
      <c r="U151" s="82"/>
      <c r="V151" s="83"/>
    </row>
    <row r="152" spans="1:22" ht="22.5" customHeight="1">
      <c r="A152" s="94"/>
      <c r="B152" s="95"/>
      <c r="C152" s="95"/>
      <c r="D152" s="95"/>
      <c r="E152" s="95"/>
      <c r="F152" s="95"/>
      <c r="G152" s="95"/>
      <c r="H152" s="95"/>
      <c r="I152" s="95"/>
      <c r="J152" s="95"/>
      <c r="K152" s="95"/>
      <c r="L152" s="95"/>
      <c r="M152" s="94"/>
      <c r="N152" s="95"/>
      <c r="O152" s="96"/>
      <c r="P152" s="42" t="s">
        <v>161</v>
      </c>
      <c r="Q152" s="84"/>
      <c r="R152" s="139"/>
      <c r="S152" s="139"/>
      <c r="T152" s="139"/>
      <c r="U152" s="139"/>
      <c r="V152" s="140"/>
    </row>
    <row r="153" spans="1:22" ht="12.75" customHeight="1">
      <c r="A153" s="78" t="s">
        <v>234</v>
      </c>
      <c r="B153" s="67"/>
      <c r="C153" s="67"/>
      <c r="D153" s="67"/>
      <c r="E153" s="67"/>
      <c r="F153" s="67"/>
      <c r="G153" s="67"/>
      <c r="H153" s="67"/>
      <c r="I153" s="67"/>
      <c r="J153" s="67"/>
      <c r="K153" s="67"/>
      <c r="L153" s="67"/>
      <c r="M153" s="67"/>
      <c r="N153" s="67"/>
      <c r="O153" s="67"/>
      <c r="P153" s="67"/>
      <c r="Q153" s="67"/>
      <c r="R153" s="67"/>
      <c r="S153" s="67"/>
      <c r="T153" s="67"/>
      <c r="U153" s="67"/>
      <c r="V153" s="68"/>
    </row>
    <row r="154" spans="1:22" ht="30" customHeight="1">
      <c r="A154" s="135" t="s">
        <v>215</v>
      </c>
      <c r="B154" s="104"/>
      <c r="C154" s="104"/>
      <c r="D154" s="104"/>
      <c r="E154" s="104"/>
      <c r="F154" s="104"/>
      <c r="G154" s="104"/>
      <c r="H154" s="104"/>
      <c r="I154" s="104"/>
      <c r="J154" s="104"/>
      <c r="K154" s="104"/>
      <c r="L154" s="104"/>
      <c r="M154" s="97"/>
      <c r="N154" s="82"/>
      <c r="O154" s="83"/>
      <c r="P154" s="52"/>
      <c r="Q154" s="82"/>
      <c r="R154" s="82"/>
      <c r="S154" s="82"/>
      <c r="T154" s="82"/>
      <c r="U154" s="82"/>
      <c r="V154" s="83"/>
    </row>
    <row r="155" spans="1:22" ht="22.5" customHeight="1">
      <c r="A155" s="94"/>
      <c r="B155" s="95"/>
      <c r="C155" s="95"/>
      <c r="D155" s="95"/>
      <c r="E155" s="95"/>
      <c r="F155" s="95"/>
      <c r="G155" s="95"/>
      <c r="H155" s="95"/>
      <c r="I155" s="95"/>
      <c r="J155" s="95"/>
      <c r="K155" s="95"/>
      <c r="L155" s="95"/>
      <c r="M155" s="94"/>
      <c r="N155" s="95"/>
      <c r="O155" s="96"/>
      <c r="P155" s="42" t="s">
        <v>161</v>
      </c>
      <c r="Q155" s="84"/>
      <c r="R155" s="85"/>
      <c r="S155" s="85"/>
      <c r="T155" s="85"/>
      <c r="U155" s="85"/>
      <c r="V155" s="86"/>
    </row>
    <row r="156" spans="1:22" ht="12.75" customHeight="1">
      <c r="A156" s="78" t="s">
        <v>235</v>
      </c>
      <c r="B156" s="67"/>
      <c r="C156" s="67"/>
      <c r="D156" s="67"/>
      <c r="E156" s="67"/>
      <c r="F156" s="67"/>
      <c r="G156" s="67"/>
      <c r="H156" s="67"/>
      <c r="I156" s="67"/>
      <c r="J156" s="67"/>
      <c r="K156" s="67"/>
      <c r="L156" s="67"/>
      <c r="M156" s="67"/>
      <c r="N156" s="67"/>
      <c r="O156" s="67"/>
      <c r="P156" s="67"/>
      <c r="Q156" s="67"/>
      <c r="R156" s="67"/>
      <c r="S156" s="67"/>
      <c r="T156" s="67"/>
      <c r="U156" s="67"/>
      <c r="V156" s="68"/>
    </row>
    <row r="157" spans="1:22" ht="30" customHeight="1">
      <c r="A157" s="100" t="s">
        <v>236</v>
      </c>
      <c r="B157" s="95"/>
      <c r="C157" s="95"/>
      <c r="D157" s="95"/>
      <c r="E157" s="95"/>
      <c r="F157" s="95"/>
      <c r="G157" s="95"/>
      <c r="H157" s="95"/>
      <c r="I157" s="95"/>
      <c r="J157" s="95"/>
      <c r="K157" s="95"/>
      <c r="L157" s="96"/>
      <c r="M157" s="81"/>
      <c r="N157" s="67"/>
      <c r="O157" s="68"/>
      <c r="P157" s="42" t="s">
        <v>161</v>
      </c>
      <c r="Q157" s="84"/>
      <c r="R157" s="85"/>
      <c r="S157" s="85"/>
      <c r="T157" s="85"/>
      <c r="U157" s="85"/>
      <c r="V157" s="86"/>
    </row>
    <row r="158" spans="1:22" ht="30" customHeight="1">
      <c r="A158" s="100" t="s">
        <v>237</v>
      </c>
      <c r="B158" s="95"/>
      <c r="C158" s="95"/>
      <c r="D158" s="95"/>
      <c r="E158" s="95"/>
      <c r="F158" s="95"/>
      <c r="G158" s="95"/>
      <c r="H158" s="95"/>
      <c r="I158" s="95"/>
      <c r="J158" s="95"/>
      <c r="K158" s="95"/>
      <c r="L158" s="96"/>
      <c r="M158" s="81"/>
      <c r="N158" s="67"/>
      <c r="O158" s="68"/>
      <c r="P158" s="69"/>
      <c r="Q158" s="67"/>
      <c r="R158" s="67"/>
      <c r="S158" s="67"/>
      <c r="T158" s="67"/>
      <c r="U158" s="67"/>
      <c r="V158" s="68"/>
    </row>
    <row r="159" spans="1:22" ht="30" customHeight="1">
      <c r="A159" s="100" t="s">
        <v>238</v>
      </c>
      <c r="B159" s="95"/>
      <c r="C159" s="95"/>
      <c r="D159" s="95"/>
      <c r="E159" s="95"/>
      <c r="F159" s="95"/>
      <c r="G159" s="95"/>
      <c r="H159" s="95"/>
      <c r="I159" s="95"/>
      <c r="J159" s="95"/>
      <c r="K159" s="95"/>
      <c r="L159" s="96"/>
      <c r="M159" s="81"/>
      <c r="N159" s="67"/>
      <c r="O159" s="68"/>
      <c r="P159" s="69"/>
      <c r="Q159" s="67"/>
      <c r="R159" s="67"/>
      <c r="S159" s="67"/>
      <c r="T159" s="67"/>
      <c r="U159" s="67"/>
      <c r="V159" s="68"/>
    </row>
    <row r="160" spans="1:22" ht="30" customHeight="1">
      <c r="A160" s="100" t="s">
        <v>239</v>
      </c>
      <c r="B160" s="95"/>
      <c r="C160" s="95"/>
      <c r="D160" s="95"/>
      <c r="E160" s="95"/>
      <c r="F160" s="95"/>
      <c r="G160" s="95"/>
      <c r="H160" s="95"/>
      <c r="I160" s="95"/>
      <c r="J160" s="95"/>
      <c r="K160" s="95"/>
      <c r="L160" s="96"/>
      <c r="M160" s="81"/>
      <c r="N160" s="67"/>
      <c r="O160" s="68"/>
      <c r="P160" s="69"/>
      <c r="Q160" s="67"/>
      <c r="R160" s="67"/>
      <c r="S160" s="67"/>
      <c r="T160" s="67"/>
      <c r="U160" s="67"/>
      <c r="V160" s="68"/>
    </row>
    <row r="161" spans="1:22" ht="30" customHeight="1">
      <c r="A161" s="100" t="s">
        <v>240</v>
      </c>
      <c r="B161" s="95"/>
      <c r="C161" s="95"/>
      <c r="D161" s="95"/>
      <c r="E161" s="95"/>
      <c r="F161" s="95"/>
      <c r="G161" s="95"/>
      <c r="H161" s="95"/>
      <c r="I161" s="95"/>
      <c r="J161" s="95"/>
      <c r="K161" s="95"/>
      <c r="L161" s="96"/>
      <c r="M161" s="81"/>
      <c r="N161" s="67"/>
      <c r="O161" s="68"/>
      <c r="P161" s="42" t="s">
        <v>161</v>
      </c>
      <c r="Q161" s="84"/>
      <c r="R161" s="85"/>
      <c r="S161" s="85"/>
      <c r="T161" s="85"/>
      <c r="U161" s="85"/>
      <c r="V161" s="86"/>
    </row>
    <row r="162" spans="1:22" ht="22.5" customHeight="1">
      <c r="A162" s="100" t="s">
        <v>241</v>
      </c>
      <c r="B162" s="95"/>
      <c r="C162" s="95"/>
      <c r="D162" s="95"/>
      <c r="E162" s="95"/>
      <c r="F162" s="95"/>
      <c r="G162" s="95"/>
      <c r="H162" s="95"/>
      <c r="I162" s="95"/>
      <c r="J162" s="95"/>
      <c r="K162" s="95"/>
      <c r="L162" s="96"/>
      <c r="M162" s="81"/>
      <c r="N162" s="67"/>
      <c r="O162" s="68"/>
      <c r="P162" s="69"/>
      <c r="Q162" s="67"/>
      <c r="R162" s="67"/>
      <c r="S162" s="67"/>
      <c r="T162" s="67"/>
      <c r="U162" s="67"/>
      <c r="V162" s="68"/>
    </row>
    <row r="163" spans="1:22" ht="22.5" customHeight="1">
      <c r="A163" s="135" t="s">
        <v>242</v>
      </c>
      <c r="B163" s="104"/>
      <c r="C163" s="104"/>
      <c r="D163" s="104"/>
      <c r="E163" s="104"/>
      <c r="F163" s="104"/>
      <c r="G163" s="104"/>
      <c r="H163" s="104"/>
      <c r="I163" s="104"/>
      <c r="J163" s="104"/>
      <c r="K163" s="104"/>
      <c r="L163" s="105"/>
      <c r="M163" s="97"/>
      <c r="N163" s="82"/>
      <c r="O163" s="83"/>
      <c r="P163" s="69"/>
      <c r="Q163" s="67"/>
      <c r="R163" s="67"/>
      <c r="S163" s="67"/>
      <c r="T163" s="67"/>
      <c r="U163" s="67"/>
      <c r="V163" s="68"/>
    </row>
    <row r="164" spans="1:22" ht="22.5" customHeight="1">
      <c r="A164" s="103"/>
      <c r="B164" s="104"/>
      <c r="C164" s="104"/>
      <c r="D164" s="104"/>
      <c r="E164" s="104"/>
      <c r="F164" s="104"/>
      <c r="G164" s="104"/>
      <c r="H164" s="104"/>
      <c r="I164" s="104"/>
      <c r="J164" s="104"/>
      <c r="K164" s="104"/>
      <c r="L164" s="105"/>
      <c r="M164" s="103"/>
      <c r="N164" s="104"/>
      <c r="O164" s="105"/>
      <c r="P164" s="100"/>
      <c r="Q164" s="95"/>
      <c r="R164" s="95"/>
      <c r="S164" s="95"/>
      <c r="T164" s="95"/>
      <c r="U164" s="95"/>
      <c r="V164" s="96"/>
    </row>
    <row r="165" spans="1:22" ht="22.5" customHeight="1">
      <c r="A165" s="103"/>
      <c r="B165" s="104"/>
      <c r="C165" s="104"/>
      <c r="D165" s="104"/>
      <c r="E165" s="104"/>
      <c r="F165" s="104"/>
      <c r="G165" s="104"/>
      <c r="H165" s="104"/>
      <c r="I165" s="104"/>
      <c r="J165" s="104"/>
      <c r="K165" s="104"/>
      <c r="L165" s="105"/>
      <c r="M165" s="103"/>
      <c r="N165" s="104"/>
      <c r="O165" s="105"/>
      <c r="P165" s="100"/>
      <c r="Q165" s="95"/>
      <c r="R165" s="95"/>
      <c r="S165" s="95"/>
      <c r="T165" s="95"/>
      <c r="U165" s="95"/>
      <c r="V165" s="96"/>
    </row>
    <row r="166" spans="1:22" ht="30" customHeight="1">
      <c r="A166" s="94"/>
      <c r="B166" s="95"/>
      <c r="C166" s="95"/>
      <c r="D166" s="95"/>
      <c r="E166" s="95"/>
      <c r="F166" s="95"/>
      <c r="G166" s="95"/>
      <c r="H166" s="95"/>
      <c r="I166" s="95"/>
      <c r="J166" s="95"/>
      <c r="K166" s="95"/>
      <c r="L166" s="96"/>
      <c r="M166" s="94"/>
      <c r="N166" s="95"/>
      <c r="O166" s="96"/>
      <c r="P166" s="100"/>
      <c r="Q166" s="95"/>
      <c r="R166" s="95"/>
      <c r="S166" s="95"/>
      <c r="T166" s="95"/>
      <c r="U166" s="95"/>
      <c r="V166" s="96"/>
    </row>
    <row r="167" spans="1:22" ht="22.5" customHeight="1">
      <c r="A167" s="135" t="s">
        <v>243</v>
      </c>
      <c r="B167" s="104"/>
      <c r="C167" s="104"/>
      <c r="D167" s="104"/>
      <c r="E167" s="104"/>
      <c r="F167" s="104"/>
      <c r="G167" s="104"/>
      <c r="H167" s="104"/>
      <c r="I167" s="104"/>
      <c r="J167" s="104"/>
      <c r="K167" s="104"/>
      <c r="L167" s="105"/>
      <c r="M167" s="143"/>
      <c r="N167" s="104"/>
      <c r="O167" s="105"/>
      <c r="P167" s="69"/>
      <c r="Q167" s="67"/>
      <c r="R167" s="67"/>
      <c r="S167" s="67"/>
      <c r="T167" s="67"/>
      <c r="U167" s="67"/>
      <c r="V167" s="68"/>
    </row>
    <row r="168" spans="1:22" ht="22.5" customHeight="1">
      <c r="A168" s="103"/>
      <c r="B168" s="104"/>
      <c r="C168" s="104"/>
      <c r="D168" s="104"/>
      <c r="E168" s="104"/>
      <c r="F168" s="104"/>
      <c r="G168" s="104"/>
      <c r="H168" s="104"/>
      <c r="I168" s="104"/>
      <c r="J168" s="104"/>
      <c r="K168" s="104"/>
      <c r="L168" s="105"/>
      <c r="M168" s="104"/>
      <c r="N168" s="104"/>
      <c r="O168" s="105"/>
      <c r="P168" s="100"/>
      <c r="Q168" s="95"/>
      <c r="R168" s="95"/>
      <c r="S168" s="95"/>
      <c r="T168" s="95"/>
      <c r="U168" s="95"/>
      <c r="V168" s="96"/>
    </row>
    <row r="169" spans="1:22" ht="30" customHeight="1">
      <c r="A169" s="103"/>
      <c r="B169" s="104"/>
      <c r="C169" s="104"/>
      <c r="D169" s="104"/>
      <c r="E169" s="104"/>
      <c r="F169" s="104"/>
      <c r="G169" s="104"/>
      <c r="H169" s="104"/>
      <c r="I169" s="104"/>
      <c r="J169" s="104"/>
      <c r="K169" s="104"/>
      <c r="L169" s="105"/>
      <c r="M169" s="104"/>
      <c r="N169" s="104"/>
      <c r="O169" s="105"/>
      <c r="P169" s="100"/>
      <c r="Q169" s="95"/>
      <c r="R169" s="95"/>
      <c r="S169" s="95"/>
      <c r="T169" s="95"/>
      <c r="U169" s="95"/>
      <c r="V169" s="96"/>
    </row>
    <row r="170" spans="1:22" ht="30" customHeight="1">
      <c r="A170" s="94"/>
      <c r="B170" s="95"/>
      <c r="C170" s="95"/>
      <c r="D170" s="95"/>
      <c r="E170" s="95"/>
      <c r="F170" s="95"/>
      <c r="G170" s="95"/>
      <c r="H170" s="95"/>
      <c r="I170" s="95"/>
      <c r="J170" s="95"/>
      <c r="K170" s="95"/>
      <c r="L170" s="96"/>
      <c r="M170" s="95"/>
      <c r="N170" s="95"/>
      <c r="O170" s="96"/>
      <c r="P170" s="100"/>
      <c r="Q170" s="95"/>
      <c r="R170" s="95"/>
      <c r="S170" s="95"/>
      <c r="T170" s="95"/>
      <c r="U170" s="95"/>
      <c r="V170" s="96"/>
    </row>
    <row r="171" spans="1:22" ht="22.5" customHeight="1">
      <c r="A171" s="144" t="s">
        <v>244</v>
      </c>
      <c r="B171" s="104"/>
      <c r="C171" s="104"/>
      <c r="D171" s="104"/>
      <c r="E171" s="104"/>
      <c r="F171" s="104"/>
      <c r="G171" s="104"/>
      <c r="H171" s="104"/>
      <c r="I171" s="104"/>
      <c r="J171" s="104"/>
      <c r="K171" s="104"/>
      <c r="L171" s="105"/>
      <c r="M171" s="143"/>
      <c r="N171" s="104"/>
      <c r="O171" s="105"/>
      <c r="P171" s="69"/>
      <c r="Q171" s="67"/>
      <c r="R171" s="67"/>
      <c r="S171" s="67"/>
      <c r="T171" s="67"/>
      <c r="U171" s="67"/>
      <c r="V171" s="68"/>
    </row>
    <row r="172" spans="1:22" ht="30" customHeight="1">
      <c r="A172" s="103"/>
      <c r="B172" s="104"/>
      <c r="C172" s="104"/>
      <c r="D172" s="104"/>
      <c r="E172" s="104"/>
      <c r="F172" s="104"/>
      <c r="G172" s="104"/>
      <c r="H172" s="104"/>
      <c r="I172" s="104"/>
      <c r="J172" s="104"/>
      <c r="K172" s="104"/>
      <c r="L172" s="105"/>
      <c r="M172" s="104"/>
      <c r="N172" s="104"/>
      <c r="O172" s="105"/>
      <c r="P172" s="100"/>
      <c r="Q172" s="95"/>
      <c r="R172" s="95"/>
      <c r="S172" s="95"/>
      <c r="T172" s="95"/>
      <c r="U172" s="95"/>
      <c r="V172" s="96"/>
    </row>
    <row r="173" spans="1:22" ht="30" customHeight="1">
      <c r="A173" s="94"/>
      <c r="B173" s="95"/>
      <c r="C173" s="95"/>
      <c r="D173" s="95"/>
      <c r="E173" s="95"/>
      <c r="F173" s="95"/>
      <c r="G173" s="95"/>
      <c r="H173" s="95"/>
      <c r="I173" s="95"/>
      <c r="J173" s="95"/>
      <c r="K173" s="95"/>
      <c r="L173" s="96"/>
      <c r="M173" s="95"/>
      <c r="N173" s="95"/>
      <c r="O173" s="96"/>
      <c r="P173" s="100"/>
      <c r="Q173" s="95"/>
      <c r="R173" s="95"/>
      <c r="S173" s="95"/>
      <c r="T173" s="95"/>
      <c r="U173" s="95"/>
      <c r="V173" s="96"/>
    </row>
    <row r="174" spans="1:22" ht="22.5" customHeight="1">
      <c r="A174" s="89" t="s">
        <v>245</v>
      </c>
      <c r="B174" s="82"/>
      <c r="C174" s="82"/>
      <c r="D174" s="82"/>
      <c r="E174" s="82"/>
      <c r="F174" s="82"/>
      <c r="G174" s="82"/>
      <c r="H174" s="82"/>
      <c r="I174" s="82"/>
      <c r="J174" s="82"/>
      <c r="K174" s="82"/>
      <c r="L174" s="83"/>
      <c r="M174" s="97"/>
      <c r="N174" s="82"/>
      <c r="O174" s="83"/>
      <c r="P174" s="69"/>
      <c r="Q174" s="67"/>
      <c r="R174" s="67"/>
      <c r="S174" s="67"/>
      <c r="T174" s="67"/>
      <c r="U174" s="67"/>
      <c r="V174" s="68"/>
    </row>
    <row r="175" spans="1:22" ht="22.5" customHeight="1">
      <c r="A175" s="94"/>
      <c r="B175" s="95"/>
      <c r="C175" s="95"/>
      <c r="D175" s="95"/>
      <c r="E175" s="95"/>
      <c r="F175" s="95"/>
      <c r="G175" s="95"/>
      <c r="H175" s="95"/>
      <c r="I175" s="95"/>
      <c r="J175" s="95"/>
      <c r="K175" s="95"/>
      <c r="L175" s="96"/>
      <c r="M175" s="94"/>
      <c r="N175" s="95"/>
      <c r="O175" s="96"/>
      <c r="P175" s="42" t="s">
        <v>161</v>
      </c>
      <c r="Q175" s="84"/>
      <c r="R175" s="85"/>
      <c r="S175" s="85"/>
      <c r="T175" s="85"/>
      <c r="U175" s="85"/>
      <c r="V175" s="86"/>
    </row>
    <row r="176" spans="1:22" ht="30" customHeight="1">
      <c r="A176" s="88" t="s">
        <v>246</v>
      </c>
      <c r="B176" s="67"/>
      <c r="C176" s="67"/>
      <c r="D176" s="67"/>
      <c r="E176" s="67"/>
      <c r="F176" s="67"/>
      <c r="G176" s="67"/>
      <c r="H176" s="67"/>
      <c r="I176" s="67"/>
      <c r="J176" s="67"/>
      <c r="K176" s="67"/>
      <c r="L176" s="68"/>
      <c r="M176" s="81"/>
      <c r="N176" s="67"/>
      <c r="O176" s="68"/>
      <c r="P176" s="69"/>
      <c r="Q176" s="67"/>
      <c r="R176" s="67"/>
      <c r="S176" s="67"/>
      <c r="T176" s="67"/>
      <c r="U176" s="67"/>
      <c r="V176" s="68"/>
    </row>
    <row r="177" spans="1:22" ht="30" customHeight="1">
      <c r="A177" s="88" t="s">
        <v>247</v>
      </c>
      <c r="B177" s="67"/>
      <c r="C177" s="67"/>
      <c r="D177" s="67"/>
      <c r="E177" s="67"/>
      <c r="F177" s="67"/>
      <c r="G177" s="67"/>
      <c r="H177" s="67"/>
      <c r="I177" s="67"/>
      <c r="J177" s="67"/>
      <c r="K177" s="67"/>
      <c r="L177" s="68"/>
      <c r="M177" s="81"/>
      <c r="N177" s="67"/>
      <c r="O177" s="68"/>
      <c r="P177" s="69"/>
      <c r="Q177" s="67"/>
      <c r="R177" s="67"/>
      <c r="S177" s="67"/>
      <c r="T177" s="67"/>
      <c r="U177" s="67"/>
      <c r="V177" s="68"/>
    </row>
    <row r="178" spans="1:22" ht="12.75" customHeight="1">
      <c r="A178" s="78" t="s">
        <v>248</v>
      </c>
      <c r="B178" s="67"/>
      <c r="C178" s="67"/>
      <c r="D178" s="67"/>
      <c r="E178" s="67"/>
      <c r="F178" s="67"/>
      <c r="G178" s="67"/>
      <c r="H178" s="67"/>
      <c r="I178" s="67"/>
      <c r="J178" s="67"/>
      <c r="K178" s="67"/>
      <c r="L178" s="67"/>
      <c r="M178" s="67"/>
      <c r="N178" s="67"/>
      <c r="O178" s="67"/>
      <c r="P178" s="67"/>
      <c r="Q178" s="67"/>
      <c r="R178" s="67"/>
      <c r="S178" s="67"/>
      <c r="T178" s="67"/>
      <c r="U178" s="67"/>
      <c r="V178" s="68"/>
    </row>
    <row r="179" spans="1:22" ht="40.5" customHeight="1">
      <c r="A179" s="133"/>
      <c r="B179" s="82"/>
      <c r="C179" s="82"/>
      <c r="D179" s="82"/>
      <c r="E179" s="82"/>
      <c r="F179" s="87" t="s">
        <v>249</v>
      </c>
      <c r="G179" s="67"/>
      <c r="H179" s="67"/>
      <c r="I179" s="67"/>
      <c r="J179" s="67"/>
      <c r="K179" s="67"/>
      <c r="L179" s="68"/>
      <c r="M179" s="87" t="s">
        <v>250</v>
      </c>
      <c r="N179" s="67"/>
      <c r="O179" s="67"/>
      <c r="P179" s="68"/>
      <c r="Q179" s="87" t="s">
        <v>251</v>
      </c>
      <c r="R179" s="67"/>
      <c r="S179" s="67"/>
      <c r="T179" s="67"/>
      <c r="U179" s="67"/>
      <c r="V179" s="68"/>
    </row>
    <row r="180" spans="1:22" ht="40.5" customHeight="1">
      <c r="A180" s="103"/>
      <c r="B180" s="104"/>
      <c r="C180" s="104"/>
      <c r="D180" s="104"/>
      <c r="E180" s="104"/>
      <c r="F180" s="87" t="s">
        <v>252</v>
      </c>
      <c r="G180" s="67"/>
      <c r="H180" s="67"/>
      <c r="I180" s="67"/>
      <c r="J180" s="67"/>
      <c r="K180" s="67"/>
      <c r="L180" s="68"/>
      <c r="M180" s="126" t="s">
        <v>287</v>
      </c>
      <c r="N180" s="82"/>
      <c r="O180" s="82"/>
      <c r="P180" s="83"/>
      <c r="Q180" s="52" t="s">
        <v>288</v>
      </c>
      <c r="R180" s="53"/>
      <c r="S180" s="53"/>
      <c r="T180" s="53"/>
      <c r="U180" s="53"/>
      <c r="V180" s="127"/>
    </row>
    <row r="181" spans="1:22" ht="33" customHeight="1">
      <c r="A181" s="103"/>
      <c r="B181" s="104"/>
      <c r="C181" s="104"/>
      <c r="D181" s="104"/>
      <c r="E181" s="104"/>
      <c r="F181" s="87" t="s">
        <v>253</v>
      </c>
      <c r="G181" s="67"/>
      <c r="H181" s="67"/>
      <c r="I181" s="67"/>
      <c r="J181" s="67"/>
      <c r="K181" s="67"/>
      <c r="L181" s="68"/>
      <c r="M181" s="104"/>
      <c r="N181" s="104"/>
      <c r="O181" s="104"/>
      <c r="P181" s="105"/>
      <c r="Q181" s="128"/>
      <c r="R181" s="129"/>
      <c r="S181" s="129"/>
      <c r="T181" s="129"/>
      <c r="U181" s="129"/>
      <c r="V181" s="130"/>
    </row>
    <row r="182" spans="1:22" ht="40.5" customHeight="1">
      <c r="A182" s="94"/>
      <c r="B182" s="95"/>
      <c r="C182" s="95"/>
      <c r="D182" s="95"/>
      <c r="E182" s="95"/>
      <c r="F182" s="87" t="s">
        <v>254</v>
      </c>
      <c r="G182" s="67"/>
      <c r="H182" s="67"/>
      <c r="I182" s="67"/>
      <c r="J182" s="67"/>
      <c r="K182" s="67"/>
      <c r="L182" s="68"/>
      <c r="M182" s="95"/>
      <c r="N182" s="95"/>
      <c r="O182" s="95"/>
      <c r="P182" s="96"/>
      <c r="Q182" s="131"/>
      <c r="R182" s="55"/>
      <c r="S182" s="55"/>
      <c r="T182" s="55"/>
      <c r="U182" s="55"/>
      <c r="V182" s="132"/>
    </row>
    <row r="183" spans="1:22">
      <c r="A183" s="87"/>
      <c r="B183" s="67"/>
      <c r="C183" s="67"/>
      <c r="D183" s="67"/>
      <c r="E183" s="67"/>
      <c r="F183" s="67"/>
      <c r="G183" s="67"/>
      <c r="H183" s="67"/>
      <c r="I183" s="67"/>
      <c r="J183" s="67"/>
      <c r="K183" s="67"/>
      <c r="L183" s="67"/>
      <c r="M183" s="67"/>
      <c r="N183" s="67"/>
      <c r="O183" s="67"/>
      <c r="P183" s="67"/>
      <c r="Q183" s="67"/>
      <c r="R183" s="67"/>
      <c r="S183" s="67"/>
      <c r="T183" s="67"/>
      <c r="U183" s="67"/>
      <c r="V183" s="68"/>
    </row>
    <row r="184" spans="1:22" ht="12.75" customHeight="1">
      <c r="A184" s="78" t="s">
        <v>255</v>
      </c>
      <c r="B184" s="67"/>
      <c r="C184" s="67"/>
      <c r="D184" s="67"/>
      <c r="E184" s="67"/>
      <c r="F184" s="67"/>
      <c r="G184" s="67"/>
      <c r="H184" s="67"/>
      <c r="I184" s="67"/>
      <c r="J184" s="67"/>
      <c r="K184" s="67"/>
      <c r="L184" s="67"/>
      <c r="M184" s="67"/>
      <c r="N184" s="67"/>
      <c r="O184" s="67"/>
      <c r="P184" s="67"/>
      <c r="Q184" s="67"/>
      <c r="R184" s="67"/>
      <c r="S184" s="67"/>
      <c r="T184" s="67"/>
      <c r="U184" s="67"/>
      <c r="V184" s="68"/>
    </row>
    <row r="185" spans="1:22" ht="26.25" customHeight="1">
      <c r="A185" s="87" t="s">
        <v>256</v>
      </c>
      <c r="B185" s="67"/>
      <c r="C185" s="67"/>
      <c r="D185" s="67"/>
      <c r="E185" s="67"/>
      <c r="F185" s="67"/>
      <c r="G185" s="87" t="s">
        <v>257</v>
      </c>
      <c r="H185" s="67"/>
      <c r="I185" s="67"/>
      <c r="J185" s="68"/>
      <c r="K185" s="79" t="s">
        <v>80</v>
      </c>
      <c r="L185" s="67"/>
      <c r="M185" s="67"/>
      <c r="N185" s="67"/>
      <c r="O185" s="67"/>
      <c r="P185" s="67"/>
      <c r="Q185" s="67"/>
      <c r="R185" s="67"/>
      <c r="S185" s="67"/>
      <c r="T185" s="67"/>
      <c r="U185" s="67"/>
      <c r="V185" s="68"/>
    </row>
    <row r="186" spans="1:22" ht="111" customHeight="1">
      <c r="A186" s="81" t="s">
        <v>277</v>
      </c>
      <c r="B186" s="67"/>
      <c r="C186" s="67"/>
      <c r="D186" s="67"/>
      <c r="E186" s="67"/>
      <c r="F186" s="67"/>
      <c r="G186" s="81" t="s">
        <v>259</v>
      </c>
      <c r="H186" s="67"/>
      <c r="I186" s="67"/>
      <c r="J186" s="68"/>
      <c r="K186" s="50" t="s">
        <v>259</v>
      </c>
      <c r="L186" s="51"/>
      <c r="M186" s="51"/>
      <c r="N186" s="51"/>
      <c r="O186" s="51"/>
      <c r="P186" s="51"/>
      <c r="Q186" s="51"/>
      <c r="R186" s="51"/>
      <c r="S186" s="51"/>
      <c r="T186" s="51"/>
      <c r="U186" s="51"/>
      <c r="V186" s="65"/>
    </row>
    <row r="187" spans="1:22" ht="30" customHeight="1">
      <c r="A187" s="50" t="s">
        <v>161</v>
      </c>
      <c r="B187" s="51"/>
      <c r="C187" s="51"/>
      <c r="D187" s="51"/>
      <c r="E187" s="51"/>
      <c r="F187" s="51"/>
      <c r="G187" s="51"/>
      <c r="H187" s="51"/>
      <c r="I187" s="51"/>
      <c r="J187" s="51"/>
      <c r="K187" s="51"/>
      <c r="L187" s="51"/>
      <c r="M187" s="51"/>
      <c r="N187" s="51"/>
      <c r="O187" s="51"/>
      <c r="P187" s="51"/>
      <c r="Q187" s="51"/>
      <c r="R187" s="51"/>
      <c r="S187" s="51"/>
      <c r="T187" s="51"/>
      <c r="U187" s="51"/>
      <c r="V187" s="65"/>
    </row>
    <row r="188" spans="1:22" ht="129" customHeight="1">
      <c r="A188" s="81" t="s">
        <v>278</v>
      </c>
      <c r="B188" s="67"/>
      <c r="C188" s="67"/>
      <c r="D188" s="67"/>
      <c r="E188" s="67"/>
      <c r="F188" s="67"/>
      <c r="G188" s="81" t="s">
        <v>258</v>
      </c>
      <c r="H188" s="67"/>
      <c r="I188" s="67"/>
      <c r="J188" s="68"/>
      <c r="K188" s="50" t="s">
        <v>289</v>
      </c>
      <c r="L188" s="51"/>
      <c r="M188" s="51"/>
      <c r="N188" s="51"/>
      <c r="O188" s="51"/>
      <c r="P188" s="51"/>
      <c r="Q188" s="51"/>
      <c r="R188" s="51"/>
      <c r="S188" s="51"/>
      <c r="T188" s="51"/>
      <c r="U188" s="51"/>
      <c r="V188" s="65"/>
    </row>
    <row r="189" spans="1:22" ht="30" customHeight="1">
      <c r="A189" s="50" t="s">
        <v>161</v>
      </c>
      <c r="B189" s="51"/>
      <c r="C189" s="51"/>
      <c r="D189" s="51"/>
      <c r="E189" s="51"/>
      <c r="F189" s="51"/>
      <c r="G189" s="51"/>
      <c r="H189" s="51"/>
      <c r="I189" s="51"/>
      <c r="J189" s="51"/>
      <c r="K189" s="51"/>
      <c r="L189" s="51"/>
      <c r="M189" s="51"/>
      <c r="N189" s="51"/>
      <c r="O189" s="51"/>
      <c r="P189" s="51"/>
      <c r="Q189" s="51"/>
      <c r="R189" s="51"/>
      <c r="S189" s="51"/>
      <c r="T189" s="51"/>
      <c r="U189" s="51"/>
      <c r="V189" s="65"/>
    </row>
    <row r="190" spans="1:22" ht="105" customHeight="1">
      <c r="A190" s="106" t="s">
        <v>279</v>
      </c>
      <c r="B190" s="67"/>
      <c r="C190" s="67"/>
      <c r="D190" s="67"/>
      <c r="E190" s="67"/>
      <c r="F190" s="67"/>
      <c r="G190" s="106" t="s">
        <v>258</v>
      </c>
      <c r="H190" s="67"/>
      <c r="I190" s="67"/>
      <c r="J190" s="68"/>
      <c r="K190" s="88" t="s">
        <v>290</v>
      </c>
      <c r="L190" s="85"/>
      <c r="M190" s="85"/>
      <c r="N190" s="85"/>
      <c r="O190" s="85"/>
      <c r="P190" s="85"/>
      <c r="Q190" s="85"/>
      <c r="R190" s="85"/>
      <c r="S190" s="85"/>
      <c r="T190" s="85"/>
      <c r="U190" s="85"/>
      <c r="V190" s="86"/>
    </row>
    <row r="191" spans="1:22" ht="30" customHeight="1">
      <c r="A191" s="50" t="s">
        <v>161</v>
      </c>
      <c r="B191" s="51"/>
      <c r="C191" s="51"/>
      <c r="D191" s="51"/>
      <c r="E191" s="51"/>
      <c r="F191" s="51"/>
      <c r="G191" s="51"/>
      <c r="H191" s="51"/>
      <c r="I191" s="51"/>
      <c r="J191" s="51"/>
      <c r="K191" s="51"/>
      <c r="L191" s="51"/>
      <c r="M191" s="51"/>
      <c r="N191" s="51"/>
      <c r="O191" s="51"/>
      <c r="P191" s="51"/>
      <c r="Q191" s="51"/>
      <c r="R191" s="51"/>
      <c r="S191" s="51"/>
      <c r="T191" s="51"/>
      <c r="U191" s="51"/>
      <c r="V191" s="65"/>
    </row>
    <row r="192" spans="1:22" ht="133.5" customHeight="1">
      <c r="A192" s="81" t="s">
        <v>280</v>
      </c>
      <c r="B192" s="67"/>
      <c r="C192" s="67"/>
      <c r="D192" s="67"/>
      <c r="E192" s="67"/>
      <c r="F192" s="67"/>
      <c r="G192" s="81" t="s">
        <v>258</v>
      </c>
      <c r="H192" s="67"/>
      <c r="I192" s="67"/>
      <c r="J192" s="68"/>
      <c r="K192" s="69" t="s">
        <v>291</v>
      </c>
      <c r="L192" s="85"/>
      <c r="M192" s="85"/>
      <c r="N192" s="85"/>
      <c r="O192" s="85"/>
      <c r="P192" s="85"/>
      <c r="Q192" s="85"/>
      <c r="R192" s="85"/>
      <c r="S192" s="85"/>
      <c r="T192" s="85"/>
      <c r="U192" s="85"/>
      <c r="V192" s="86"/>
    </row>
    <row r="193" spans="1:22" ht="30" customHeight="1">
      <c r="A193" s="50" t="s">
        <v>161</v>
      </c>
      <c r="B193" s="51"/>
      <c r="C193" s="51"/>
      <c r="D193" s="51"/>
      <c r="E193" s="51"/>
      <c r="F193" s="51"/>
      <c r="G193" s="51"/>
      <c r="H193" s="51"/>
      <c r="I193" s="51"/>
      <c r="J193" s="51"/>
      <c r="K193" s="51"/>
      <c r="L193" s="51"/>
      <c r="M193" s="51"/>
      <c r="N193" s="51"/>
      <c r="O193" s="51"/>
      <c r="P193" s="51"/>
      <c r="Q193" s="51"/>
      <c r="R193" s="51"/>
      <c r="S193" s="51"/>
      <c r="T193" s="51"/>
      <c r="U193" s="51"/>
      <c r="V193" s="65"/>
    </row>
    <row r="194" spans="1:22" ht="126.75" customHeight="1">
      <c r="A194" s="81" t="s">
        <v>281</v>
      </c>
      <c r="B194" s="67"/>
      <c r="C194" s="67"/>
      <c r="D194" s="67"/>
      <c r="E194" s="67"/>
      <c r="F194" s="67"/>
      <c r="G194" s="81" t="s">
        <v>259</v>
      </c>
      <c r="H194" s="67"/>
      <c r="I194" s="67"/>
      <c r="J194" s="68"/>
      <c r="K194" s="69" t="s">
        <v>259</v>
      </c>
      <c r="L194" s="85"/>
      <c r="M194" s="85"/>
      <c r="N194" s="85"/>
      <c r="O194" s="85"/>
      <c r="P194" s="85"/>
      <c r="Q194" s="85"/>
      <c r="R194" s="85"/>
      <c r="S194" s="85"/>
      <c r="T194" s="85"/>
      <c r="U194" s="85"/>
      <c r="V194" s="86"/>
    </row>
    <row r="195" spans="1:22" ht="30" customHeight="1">
      <c r="A195" s="50" t="s">
        <v>161</v>
      </c>
      <c r="B195" s="51"/>
      <c r="C195" s="51"/>
      <c r="D195" s="51"/>
      <c r="E195" s="51"/>
      <c r="F195" s="51"/>
      <c r="G195" s="51"/>
      <c r="H195" s="51"/>
      <c r="I195" s="51"/>
      <c r="J195" s="51"/>
      <c r="K195" s="51"/>
      <c r="L195" s="51"/>
      <c r="M195" s="51"/>
      <c r="N195" s="51"/>
      <c r="O195" s="51"/>
      <c r="P195" s="51"/>
      <c r="Q195" s="51"/>
      <c r="R195" s="51"/>
      <c r="S195" s="51"/>
      <c r="T195" s="51"/>
      <c r="U195" s="51"/>
      <c r="V195" s="65"/>
    </row>
    <row r="196" spans="1:22" ht="148.5" customHeight="1">
      <c r="A196" s="81" t="s">
        <v>282</v>
      </c>
      <c r="B196" s="67"/>
      <c r="C196" s="67"/>
      <c r="D196" s="67"/>
      <c r="E196" s="67"/>
      <c r="F196" s="67"/>
      <c r="G196" s="81" t="s">
        <v>259</v>
      </c>
      <c r="H196" s="67"/>
      <c r="I196" s="67"/>
      <c r="J196" s="68"/>
      <c r="K196" s="69" t="s">
        <v>259</v>
      </c>
      <c r="L196" s="85"/>
      <c r="M196" s="85"/>
      <c r="N196" s="85"/>
      <c r="O196" s="85"/>
      <c r="P196" s="85"/>
      <c r="Q196" s="85"/>
      <c r="R196" s="85"/>
      <c r="S196" s="85"/>
      <c r="T196" s="85"/>
      <c r="U196" s="85"/>
      <c r="V196" s="86"/>
    </row>
    <row r="197" spans="1:22" ht="30" customHeight="1">
      <c r="A197" s="50" t="s">
        <v>161</v>
      </c>
      <c r="B197" s="51"/>
      <c r="C197" s="51"/>
      <c r="D197" s="51"/>
      <c r="E197" s="51"/>
      <c r="F197" s="51"/>
      <c r="G197" s="51"/>
      <c r="H197" s="51"/>
      <c r="I197" s="51"/>
      <c r="J197" s="51"/>
      <c r="K197" s="51"/>
      <c r="L197" s="51"/>
      <c r="M197" s="51"/>
      <c r="N197" s="51"/>
      <c r="O197" s="51"/>
      <c r="P197" s="51"/>
      <c r="Q197" s="51"/>
      <c r="R197" s="51"/>
      <c r="S197" s="51"/>
      <c r="T197" s="51"/>
      <c r="U197" s="51"/>
      <c r="V197" s="65"/>
    </row>
    <row r="198" spans="1:22" ht="110.25" customHeight="1">
      <c r="A198" s="153" t="s">
        <v>283</v>
      </c>
      <c r="B198" s="67"/>
      <c r="C198" s="67"/>
      <c r="D198" s="67"/>
      <c r="E198" s="67"/>
      <c r="F198" s="68"/>
      <c r="G198" s="81" t="s">
        <v>258</v>
      </c>
      <c r="H198" s="67"/>
      <c r="I198" s="67"/>
      <c r="J198" s="68"/>
      <c r="K198" s="69" t="s">
        <v>292</v>
      </c>
      <c r="L198" s="85"/>
      <c r="M198" s="85"/>
      <c r="N198" s="85"/>
      <c r="O198" s="85"/>
      <c r="P198" s="85"/>
      <c r="Q198" s="85"/>
      <c r="R198" s="85"/>
      <c r="S198" s="85"/>
      <c r="T198" s="85"/>
      <c r="U198" s="85"/>
      <c r="V198" s="86"/>
    </row>
    <row r="199" spans="1:22" ht="30" customHeight="1">
      <c r="A199" s="50" t="s">
        <v>161</v>
      </c>
      <c r="B199" s="51"/>
      <c r="C199" s="51"/>
      <c r="D199" s="51"/>
      <c r="E199" s="51"/>
      <c r="F199" s="51"/>
      <c r="G199" s="51"/>
      <c r="H199" s="51"/>
      <c r="I199" s="51"/>
      <c r="J199" s="51"/>
      <c r="K199" s="51"/>
      <c r="L199" s="51"/>
      <c r="M199" s="51"/>
      <c r="N199" s="51"/>
      <c r="O199" s="51"/>
      <c r="P199" s="51"/>
      <c r="Q199" s="51"/>
      <c r="R199" s="51"/>
      <c r="S199" s="51"/>
      <c r="T199" s="51"/>
      <c r="U199" s="51"/>
      <c r="V199" s="65"/>
    </row>
    <row r="200" spans="1:22" ht="140.25" customHeight="1">
      <c r="A200" s="81" t="s">
        <v>284</v>
      </c>
      <c r="B200" s="67"/>
      <c r="C200" s="67"/>
      <c r="D200" s="67"/>
      <c r="E200" s="67"/>
      <c r="F200" s="67"/>
      <c r="G200" s="81" t="s">
        <v>258</v>
      </c>
      <c r="H200" s="67"/>
      <c r="I200" s="67"/>
      <c r="J200" s="68"/>
      <c r="K200" s="69" t="s">
        <v>293</v>
      </c>
      <c r="L200" s="85"/>
      <c r="M200" s="85"/>
      <c r="N200" s="85"/>
      <c r="O200" s="85"/>
      <c r="P200" s="85"/>
      <c r="Q200" s="85"/>
      <c r="R200" s="85"/>
      <c r="S200" s="85"/>
      <c r="T200" s="85"/>
      <c r="U200" s="85"/>
      <c r="V200" s="86"/>
    </row>
    <row r="201" spans="1:22" ht="30" customHeight="1">
      <c r="A201" s="50" t="s">
        <v>161</v>
      </c>
      <c r="B201" s="51"/>
      <c r="C201" s="51"/>
      <c r="D201" s="51"/>
      <c r="E201" s="51"/>
      <c r="F201" s="51"/>
      <c r="G201" s="51"/>
      <c r="H201" s="51"/>
      <c r="I201" s="51"/>
      <c r="J201" s="51"/>
      <c r="K201" s="51"/>
      <c r="L201" s="51"/>
      <c r="M201" s="51"/>
      <c r="N201" s="51"/>
      <c r="O201" s="51"/>
      <c r="P201" s="51"/>
      <c r="Q201" s="51"/>
      <c r="R201" s="51"/>
      <c r="S201" s="51"/>
      <c r="T201" s="51"/>
      <c r="U201" s="51"/>
      <c r="V201" s="65"/>
    </row>
    <row r="202" spans="1:22" ht="142.5" customHeight="1">
      <c r="A202" s="81" t="s">
        <v>285</v>
      </c>
      <c r="B202" s="67"/>
      <c r="C202" s="67"/>
      <c r="D202" s="67"/>
      <c r="E202" s="67"/>
      <c r="F202" s="67"/>
      <c r="G202" s="81" t="s">
        <v>258</v>
      </c>
      <c r="H202" s="67"/>
      <c r="I202" s="67"/>
      <c r="J202" s="68"/>
      <c r="K202" s="69" t="s">
        <v>294</v>
      </c>
      <c r="L202" s="85"/>
      <c r="M202" s="85"/>
      <c r="N202" s="85"/>
      <c r="O202" s="85"/>
      <c r="P202" s="85"/>
      <c r="Q202" s="85"/>
      <c r="R202" s="85"/>
      <c r="S202" s="85"/>
      <c r="T202" s="85"/>
      <c r="U202" s="85"/>
      <c r="V202" s="86"/>
    </row>
    <row r="203" spans="1:22" ht="30" customHeight="1">
      <c r="A203" s="50" t="s">
        <v>161</v>
      </c>
      <c r="B203" s="51"/>
      <c r="C203" s="51"/>
      <c r="D203" s="51"/>
      <c r="E203" s="51"/>
      <c r="F203" s="51"/>
      <c r="G203" s="51"/>
      <c r="H203" s="51"/>
      <c r="I203" s="51"/>
      <c r="J203" s="51"/>
      <c r="K203" s="51"/>
      <c r="L203" s="51"/>
      <c r="M203" s="51"/>
      <c r="N203" s="51"/>
      <c r="O203" s="51"/>
      <c r="P203" s="51"/>
      <c r="Q203" s="51"/>
      <c r="R203" s="51"/>
      <c r="S203" s="51"/>
      <c r="T203" s="51"/>
      <c r="U203" s="51"/>
      <c r="V203" s="65"/>
    </row>
    <row r="204" spans="1:22" ht="12.75" customHeight="1">
      <c r="A204" s="110" t="s">
        <v>260</v>
      </c>
      <c r="B204" s="111"/>
      <c r="C204" s="111"/>
      <c r="D204" s="111"/>
      <c r="E204" s="111"/>
      <c r="F204" s="111"/>
      <c r="G204" s="111"/>
      <c r="H204" s="111"/>
      <c r="I204" s="111"/>
      <c r="J204" s="111"/>
      <c r="K204" s="111"/>
      <c r="L204" s="111"/>
      <c r="M204" s="111"/>
      <c r="N204" s="111"/>
      <c r="O204" s="111"/>
      <c r="P204" s="111"/>
      <c r="Q204" s="111"/>
      <c r="R204" s="111"/>
      <c r="S204" s="111"/>
      <c r="T204" s="111"/>
      <c r="U204" s="111"/>
      <c r="V204" s="105"/>
    </row>
    <row r="205" spans="1:22" ht="248.25" customHeight="1">
      <c r="A205" s="147"/>
      <c r="B205" s="148"/>
      <c r="C205" s="148"/>
      <c r="D205" s="148"/>
      <c r="E205" s="148"/>
      <c r="F205" s="148"/>
      <c r="G205" s="148"/>
      <c r="H205" s="148"/>
      <c r="I205" s="148"/>
      <c r="J205" s="148"/>
      <c r="K205" s="148"/>
      <c r="L205" s="148"/>
      <c r="M205" s="148"/>
      <c r="N205" s="148"/>
      <c r="O205" s="148"/>
      <c r="P205" s="148"/>
      <c r="Q205" s="148"/>
      <c r="R205" s="148"/>
      <c r="S205" s="148"/>
      <c r="T205" s="148"/>
      <c r="U205" s="148"/>
      <c r="V205" s="149"/>
    </row>
    <row r="206" spans="1:22" ht="20.25" customHeight="1">
      <c r="A206" s="110" t="s">
        <v>261</v>
      </c>
      <c r="B206" s="111"/>
      <c r="C206" s="111"/>
      <c r="D206" s="111"/>
      <c r="E206" s="111"/>
      <c r="F206" s="111"/>
      <c r="G206" s="111"/>
      <c r="H206" s="111"/>
      <c r="I206" s="111"/>
      <c r="J206" s="111"/>
      <c r="K206" s="111"/>
      <c r="L206" s="111"/>
      <c r="M206" s="111"/>
      <c r="N206" s="111"/>
      <c r="O206" s="111"/>
      <c r="P206" s="111"/>
      <c r="Q206" s="111"/>
      <c r="R206" s="111"/>
      <c r="S206" s="111"/>
      <c r="T206" s="111"/>
      <c r="U206" s="111"/>
      <c r="V206" s="105"/>
    </row>
    <row r="207" spans="1:22" ht="37.5" customHeight="1">
      <c r="A207" s="112" t="s">
        <v>286</v>
      </c>
      <c r="B207" s="113"/>
      <c r="C207" s="113"/>
      <c r="D207" s="113"/>
      <c r="E207" s="113"/>
      <c r="F207" s="113"/>
      <c r="G207" s="113"/>
      <c r="H207" s="113"/>
      <c r="I207" s="113"/>
      <c r="J207" s="113"/>
      <c r="K207" s="113"/>
      <c r="L207" s="113"/>
      <c r="M207" s="113"/>
      <c r="N207" s="113"/>
      <c r="O207" s="113"/>
      <c r="P207" s="113"/>
      <c r="Q207" s="113"/>
      <c r="R207" s="113"/>
      <c r="S207" s="113"/>
      <c r="T207" s="113"/>
      <c r="U207" s="113"/>
      <c r="V207" s="114"/>
    </row>
    <row r="208" spans="1:22" ht="75" customHeight="1">
      <c r="A208" s="119"/>
      <c r="B208" s="119"/>
      <c r="C208" s="119"/>
      <c r="D208" s="119"/>
      <c r="E208" s="119"/>
      <c r="F208" s="119"/>
      <c r="G208" s="119"/>
      <c r="H208" s="119"/>
      <c r="I208" s="119"/>
      <c r="J208" s="119"/>
      <c r="K208" s="119"/>
      <c r="L208" s="119"/>
      <c r="M208" s="119"/>
      <c r="N208" s="119"/>
      <c r="O208" s="119"/>
      <c r="P208" s="119"/>
      <c r="Q208" s="119"/>
      <c r="R208" s="119"/>
      <c r="S208" s="119"/>
      <c r="T208" s="119"/>
      <c r="U208" s="119"/>
      <c r="V208" s="120"/>
    </row>
    <row r="209" spans="1:22" ht="28.5" customHeight="1">
      <c r="A209" s="115" t="s">
        <v>262</v>
      </c>
      <c r="B209" s="116"/>
      <c r="C209" s="116"/>
      <c r="D209" s="116"/>
      <c r="E209" s="116"/>
      <c r="F209" s="116"/>
      <c r="G209" s="116"/>
      <c r="H209" s="116"/>
      <c r="I209" s="116"/>
      <c r="J209" s="116"/>
      <c r="K209" s="116"/>
      <c r="L209" s="116"/>
      <c r="M209" s="116"/>
      <c r="N209" s="116"/>
      <c r="O209" s="116"/>
      <c r="P209" s="116"/>
      <c r="Q209" s="116"/>
      <c r="R209" s="116"/>
      <c r="S209" s="116"/>
      <c r="T209" s="116"/>
      <c r="U209" s="116"/>
      <c r="V209" s="114"/>
    </row>
    <row r="210" spans="1:22" ht="28.5" customHeight="1">
      <c r="A210" s="94"/>
      <c r="B210" s="95"/>
      <c r="C210" s="95"/>
      <c r="D210" s="95"/>
      <c r="E210" s="95"/>
      <c r="F210" s="95"/>
      <c r="G210" s="95"/>
      <c r="H210" s="95"/>
      <c r="I210" s="95"/>
      <c r="J210" s="95"/>
      <c r="K210" s="95"/>
      <c r="L210" s="95"/>
      <c r="M210" s="95"/>
      <c r="N210" s="95"/>
      <c r="O210" s="95"/>
      <c r="P210" s="95"/>
      <c r="Q210" s="95"/>
      <c r="R210" s="95"/>
      <c r="S210" s="95"/>
      <c r="T210" s="95"/>
      <c r="U210" s="95"/>
      <c r="V210" s="117"/>
    </row>
    <row r="211" spans="1:22">
      <c r="A211" s="118" t="s">
        <v>263</v>
      </c>
      <c r="B211" s="95"/>
      <c r="C211" s="95"/>
      <c r="D211" s="95"/>
      <c r="E211" s="95"/>
      <c r="F211" s="95"/>
      <c r="G211" s="95"/>
      <c r="H211" s="95"/>
      <c r="I211" s="95"/>
      <c r="J211" s="95"/>
      <c r="K211" s="95"/>
      <c r="L211" s="95"/>
      <c r="M211" s="95"/>
      <c r="N211" s="95"/>
      <c r="O211" s="95"/>
      <c r="P211" s="95"/>
      <c r="Q211" s="95"/>
      <c r="R211" s="95"/>
      <c r="S211" s="95"/>
      <c r="T211" s="95"/>
      <c r="U211" s="95"/>
      <c r="V211" s="96"/>
    </row>
    <row r="212" spans="1:22" ht="15">
      <c r="A212" s="108" t="s">
        <v>146</v>
      </c>
      <c r="B212" s="96"/>
      <c r="C212" s="99" t="s">
        <v>264</v>
      </c>
      <c r="D212" s="67"/>
      <c r="E212" s="67"/>
      <c r="F212" s="67"/>
      <c r="G212" s="67"/>
      <c r="H212" s="67"/>
      <c r="I212" s="67"/>
      <c r="J212" s="67"/>
      <c r="K212" s="67"/>
      <c r="L212" s="67"/>
      <c r="M212" s="68"/>
      <c r="N212" s="46" t="s">
        <v>142</v>
      </c>
      <c r="O212" s="150" t="s">
        <v>295</v>
      </c>
      <c r="P212" s="151"/>
      <c r="Q212" s="151"/>
      <c r="R212" s="151"/>
      <c r="S212" s="151"/>
      <c r="T212" s="151"/>
      <c r="U212" s="151"/>
      <c r="V212" s="152"/>
    </row>
    <row r="213" spans="1:22" ht="15">
      <c r="A213" s="108" t="s">
        <v>146</v>
      </c>
      <c r="B213" s="96"/>
      <c r="C213" s="122"/>
      <c r="D213" s="95"/>
      <c r="E213" s="95"/>
      <c r="F213" s="95"/>
      <c r="G213" s="95"/>
      <c r="H213" s="95"/>
      <c r="I213" s="95"/>
      <c r="J213" s="95"/>
      <c r="K213" s="95"/>
      <c r="L213" s="95"/>
      <c r="M213" s="95"/>
      <c r="N213" s="46" t="s">
        <v>142</v>
      </c>
      <c r="O213" s="121"/>
      <c r="P213" s="95"/>
      <c r="Q213" s="95"/>
      <c r="R213" s="95"/>
      <c r="S213" s="95"/>
      <c r="T213" s="95"/>
      <c r="U213" s="95"/>
      <c r="V213" s="96"/>
    </row>
    <row r="214" spans="1:22" ht="15">
      <c r="A214" s="108" t="s">
        <v>146</v>
      </c>
      <c r="B214" s="96"/>
      <c r="C214" s="122"/>
      <c r="D214" s="95"/>
      <c r="E214" s="95"/>
      <c r="F214" s="95"/>
      <c r="G214" s="95"/>
      <c r="H214" s="95"/>
      <c r="I214" s="95"/>
      <c r="J214" s="95"/>
      <c r="K214" s="95"/>
      <c r="L214" s="95"/>
      <c r="M214" s="95"/>
      <c r="N214" s="46" t="s">
        <v>142</v>
      </c>
      <c r="O214" s="121"/>
      <c r="P214" s="95"/>
      <c r="Q214" s="95"/>
      <c r="R214" s="95"/>
      <c r="S214" s="95"/>
      <c r="T214" s="95"/>
      <c r="U214" s="95"/>
      <c r="V214" s="96"/>
    </row>
    <row r="215" spans="1:22" ht="15">
      <c r="A215" s="108" t="s">
        <v>146</v>
      </c>
      <c r="B215" s="96"/>
      <c r="C215" s="122"/>
      <c r="D215" s="95"/>
      <c r="E215" s="95"/>
      <c r="F215" s="95"/>
      <c r="G215" s="95"/>
      <c r="H215" s="95"/>
      <c r="I215" s="95"/>
      <c r="J215" s="95"/>
      <c r="K215" s="95"/>
      <c r="L215" s="95"/>
      <c r="M215" s="95"/>
      <c r="N215" s="46" t="s">
        <v>142</v>
      </c>
      <c r="O215" s="121"/>
      <c r="P215" s="95"/>
      <c r="Q215" s="95"/>
      <c r="R215" s="95"/>
      <c r="S215" s="95"/>
      <c r="T215" s="95"/>
      <c r="U215" s="95"/>
      <c r="V215" s="96"/>
    </row>
    <row r="216" spans="1:22" ht="12.75">
      <c r="A216" s="123" t="s">
        <v>147</v>
      </c>
      <c r="B216" s="124"/>
      <c r="C216" s="124"/>
      <c r="D216" s="124"/>
      <c r="E216" s="124"/>
      <c r="F216" s="124"/>
      <c r="G216" s="124"/>
      <c r="H216" s="124"/>
      <c r="I216" s="124"/>
      <c r="J216" s="124"/>
      <c r="K216" s="124"/>
      <c r="L216" s="124"/>
      <c r="M216" s="124"/>
      <c r="N216" s="124"/>
      <c r="O216" s="124"/>
      <c r="P216" s="124"/>
      <c r="Q216" s="124"/>
      <c r="R216" s="124"/>
      <c r="S216" s="124"/>
      <c r="T216" s="124"/>
      <c r="U216" s="124"/>
      <c r="V216" s="125"/>
    </row>
  </sheetData>
  <mergeCells count="451">
    <mergeCell ref="A15:V15"/>
    <mergeCell ref="A70:V70"/>
    <mergeCell ref="A205:V205"/>
    <mergeCell ref="O212:V212"/>
    <mergeCell ref="A174:L175"/>
    <mergeCell ref="M174:O175"/>
    <mergeCell ref="M176:O176"/>
    <mergeCell ref="F179:L179"/>
    <mergeCell ref="F180:L180"/>
    <mergeCell ref="A200:F200"/>
    <mergeCell ref="A202:F202"/>
    <mergeCell ref="G202:J202"/>
    <mergeCell ref="A198:F198"/>
    <mergeCell ref="G198:J198"/>
    <mergeCell ref="K198:V198"/>
    <mergeCell ref="A199:V199"/>
    <mergeCell ref="G200:J200"/>
    <mergeCell ref="K200:V200"/>
    <mergeCell ref="A201:V201"/>
    <mergeCell ref="P174:V174"/>
    <mergeCell ref="Q175:V175"/>
    <mergeCell ref="P176:V176"/>
    <mergeCell ref="P177:V177"/>
    <mergeCell ref="A197:V197"/>
    <mergeCell ref="P167:V167"/>
    <mergeCell ref="P168:V168"/>
    <mergeCell ref="P169:V169"/>
    <mergeCell ref="P170:V170"/>
    <mergeCell ref="P171:V171"/>
    <mergeCell ref="A162:L162"/>
    <mergeCell ref="M162:O162"/>
    <mergeCell ref="P162:V162"/>
    <mergeCell ref="A163:L166"/>
    <mergeCell ref="M163:O166"/>
    <mergeCell ref="P163:V163"/>
    <mergeCell ref="P164:V164"/>
    <mergeCell ref="P172:V172"/>
    <mergeCell ref="P173:V173"/>
    <mergeCell ref="A167:L170"/>
    <mergeCell ref="M167:O170"/>
    <mergeCell ref="A171:L173"/>
    <mergeCell ref="M171:O173"/>
    <mergeCell ref="A156:V156"/>
    <mergeCell ref="A157:L157"/>
    <mergeCell ref="M157:O157"/>
    <mergeCell ref="Q157:V157"/>
    <mergeCell ref="A158:L158"/>
    <mergeCell ref="M158:O158"/>
    <mergeCell ref="P158:V158"/>
    <mergeCell ref="M161:O161"/>
    <mergeCell ref="Q161:V161"/>
    <mergeCell ref="A159:L159"/>
    <mergeCell ref="M159:O159"/>
    <mergeCell ref="P159:V159"/>
    <mergeCell ref="A160:L160"/>
    <mergeCell ref="M160:O160"/>
    <mergeCell ref="P160:V160"/>
    <mergeCell ref="A161:L161"/>
    <mergeCell ref="P165:V165"/>
    <mergeCell ref="P166:V166"/>
    <mergeCell ref="P154:V154"/>
    <mergeCell ref="Q155:V155"/>
    <mergeCell ref="A149:L150"/>
    <mergeCell ref="M149:O150"/>
    <mergeCell ref="A151:L152"/>
    <mergeCell ref="M151:O152"/>
    <mergeCell ref="A153:V153"/>
    <mergeCell ref="A154:L155"/>
    <mergeCell ref="M154:O155"/>
    <mergeCell ref="Q147:V147"/>
    <mergeCell ref="Q148:V148"/>
    <mergeCell ref="P149:V149"/>
    <mergeCell ref="P150:V150"/>
    <mergeCell ref="P151:V151"/>
    <mergeCell ref="Q152:V152"/>
    <mergeCell ref="A146:L146"/>
    <mergeCell ref="M146:O146"/>
    <mergeCell ref="P146:V146"/>
    <mergeCell ref="A147:L147"/>
    <mergeCell ref="M147:O147"/>
    <mergeCell ref="A148:L148"/>
    <mergeCell ref="M148:O148"/>
    <mergeCell ref="P139:V139"/>
    <mergeCell ref="P140:V140"/>
    <mergeCell ref="Q141:V141"/>
    <mergeCell ref="A142:V142"/>
    <mergeCell ref="M145:O145"/>
    <mergeCell ref="P145:V145"/>
    <mergeCell ref="A143:L143"/>
    <mergeCell ref="M143:O143"/>
    <mergeCell ref="P143:V143"/>
    <mergeCell ref="A144:L144"/>
    <mergeCell ref="M144:O144"/>
    <mergeCell ref="P144:V144"/>
    <mergeCell ref="A145:L145"/>
    <mergeCell ref="A107:L107"/>
    <mergeCell ref="M107:O107"/>
    <mergeCell ref="Q107:V107"/>
    <mergeCell ref="A108:L108"/>
    <mergeCell ref="M108:O108"/>
    <mergeCell ref="A109:L109"/>
    <mergeCell ref="M109:O109"/>
    <mergeCell ref="Q108:V108"/>
    <mergeCell ref="Q109:V109"/>
    <mergeCell ref="P95:V95"/>
    <mergeCell ref="P96:V96"/>
    <mergeCell ref="P97:V97"/>
    <mergeCell ref="P98:V98"/>
    <mergeCell ref="P99:V99"/>
    <mergeCell ref="P100:V100"/>
    <mergeCell ref="P101:V101"/>
    <mergeCell ref="M106:O106"/>
    <mergeCell ref="P106:V106"/>
    <mergeCell ref="P102:V102"/>
    <mergeCell ref="Q103:V103"/>
    <mergeCell ref="A104:V104"/>
    <mergeCell ref="A105:L105"/>
    <mergeCell ref="M105:O105"/>
    <mergeCell ref="P105:V105"/>
    <mergeCell ref="A106:L106"/>
    <mergeCell ref="A99:L101"/>
    <mergeCell ref="M99:O101"/>
    <mergeCell ref="A102:L103"/>
    <mergeCell ref="M102:O103"/>
    <mergeCell ref="A97:L98"/>
    <mergeCell ref="M97:O98"/>
    <mergeCell ref="A96:L96"/>
    <mergeCell ref="M96:O96"/>
    <mergeCell ref="M124:O126"/>
    <mergeCell ref="P124:V125"/>
    <mergeCell ref="P126:V126"/>
    <mergeCell ref="A139:L139"/>
    <mergeCell ref="M139:O139"/>
    <mergeCell ref="A140:L141"/>
    <mergeCell ref="M140:O141"/>
    <mergeCell ref="A124:L126"/>
    <mergeCell ref="A127:L130"/>
    <mergeCell ref="M127:O130"/>
    <mergeCell ref="A131:L133"/>
    <mergeCell ref="M131:O133"/>
    <mergeCell ref="A134:L138"/>
    <mergeCell ref="M134:O138"/>
    <mergeCell ref="P127:V128"/>
    <mergeCell ref="P129:V129"/>
    <mergeCell ref="P130:V130"/>
    <mergeCell ref="P131:V131"/>
    <mergeCell ref="P132:V132"/>
    <mergeCell ref="P133:V133"/>
    <mergeCell ref="P134:V134"/>
    <mergeCell ref="P135:V136"/>
    <mergeCell ref="P137:V137"/>
    <mergeCell ref="P138:V138"/>
    <mergeCell ref="Q120:V120"/>
    <mergeCell ref="P121:V121"/>
    <mergeCell ref="A110:L110"/>
    <mergeCell ref="M110:O110"/>
    <mergeCell ref="A111:L112"/>
    <mergeCell ref="M111:O112"/>
    <mergeCell ref="A113:L115"/>
    <mergeCell ref="M113:O115"/>
    <mergeCell ref="M116:O119"/>
    <mergeCell ref="M120:O120"/>
    <mergeCell ref="A116:L119"/>
    <mergeCell ref="A120:L120"/>
    <mergeCell ref="A121:L123"/>
    <mergeCell ref="M121:O123"/>
    <mergeCell ref="Q110:V110"/>
    <mergeCell ref="P111:V111"/>
    <mergeCell ref="P112:V112"/>
    <mergeCell ref="P113:V113"/>
    <mergeCell ref="P114:V114"/>
    <mergeCell ref="A216:V216"/>
    <mergeCell ref="M180:P182"/>
    <mergeCell ref="Q180:V182"/>
    <mergeCell ref="F181:L181"/>
    <mergeCell ref="F182:L182"/>
    <mergeCell ref="A176:L176"/>
    <mergeCell ref="A177:L177"/>
    <mergeCell ref="M177:O177"/>
    <mergeCell ref="A178:V178"/>
    <mergeCell ref="A179:E182"/>
    <mergeCell ref="M179:P179"/>
    <mergeCell ref="Q179:V179"/>
    <mergeCell ref="A183:V183"/>
    <mergeCell ref="A184:V184"/>
    <mergeCell ref="A185:F185"/>
    <mergeCell ref="G185:J185"/>
    <mergeCell ref="K185:V185"/>
    <mergeCell ref="A186:F186"/>
    <mergeCell ref="G186:J186"/>
    <mergeCell ref="G190:J190"/>
    <mergeCell ref="K190:V190"/>
    <mergeCell ref="K186:V186"/>
    <mergeCell ref="A187:V187"/>
    <mergeCell ref="A188:F188"/>
    <mergeCell ref="O214:V214"/>
    <mergeCell ref="O215:V215"/>
    <mergeCell ref="A213:B213"/>
    <mergeCell ref="C213:M213"/>
    <mergeCell ref="O213:V213"/>
    <mergeCell ref="A214:B214"/>
    <mergeCell ref="C214:M214"/>
    <mergeCell ref="A215:B215"/>
    <mergeCell ref="C215:M215"/>
    <mergeCell ref="A206:V206"/>
    <mergeCell ref="A207:V207"/>
    <mergeCell ref="A209:V210"/>
    <mergeCell ref="A211:V211"/>
    <mergeCell ref="A212:B212"/>
    <mergeCell ref="C212:M212"/>
    <mergeCell ref="K202:V202"/>
    <mergeCell ref="A203:V203"/>
    <mergeCell ref="A204:V204"/>
    <mergeCell ref="A208:V208"/>
    <mergeCell ref="P94:V94"/>
    <mergeCell ref="A190:F190"/>
    <mergeCell ref="A192:F192"/>
    <mergeCell ref="G192:J192"/>
    <mergeCell ref="A194:F194"/>
    <mergeCell ref="G194:J194"/>
    <mergeCell ref="A196:F196"/>
    <mergeCell ref="G196:J196"/>
    <mergeCell ref="K192:V192"/>
    <mergeCell ref="A193:V193"/>
    <mergeCell ref="K194:V194"/>
    <mergeCell ref="A195:V195"/>
    <mergeCell ref="K196:V196"/>
    <mergeCell ref="G188:J188"/>
    <mergeCell ref="K188:V188"/>
    <mergeCell ref="A189:V189"/>
    <mergeCell ref="A191:V191"/>
    <mergeCell ref="P122:V122"/>
    <mergeCell ref="P123:V123"/>
    <mergeCell ref="P115:V115"/>
    <mergeCell ref="P116:V116"/>
    <mergeCell ref="P117:V117"/>
    <mergeCell ref="P118:V118"/>
    <mergeCell ref="P119:V119"/>
    <mergeCell ref="P85:V85"/>
    <mergeCell ref="P86:V86"/>
    <mergeCell ref="P87:V87"/>
    <mergeCell ref="P88:V88"/>
    <mergeCell ref="P89:V89"/>
    <mergeCell ref="P90:V90"/>
    <mergeCell ref="P91:V91"/>
    <mergeCell ref="P92:V92"/>
    <mergeCell ref="P93:V93"/>
    <mergeCell ref="Q76:V76"/>
    <mergeCell ref="Q77:V77"/>
    <mergeCell ref="P78:V78"/>
    <mergeCell ref="P79:V79"/>
    <mergeCell ref="P80:V80"/>
    <mergeCell ref="P81:V81"/>
    <mergeCell ref="P82:V82"/>
    <mergeCell ref="P83:V83"/>
    <mergeCell ref="P84:V84"/>
    <mergeCell ref="Q67:V67"/>
    <mergeCell ref="Q68:V68"/>
    <mergeCell ref="Q69:V69"/>
    <mergeCell ref="Q71:V71"/>
    <mergeCell ref="Q72:V72"/>
    <mergeCell ref="Q73:V73"/>
    <mergeCell ref="Q74:V74"/>
    <mergeCell ref="Q75:V75"/>
    <mergeCell ref="A67:L67"/>
    <mergeCell ref="M67:O67"/>
    <mergeCell ref="A68:L68"/>
    <mergeCell ref="M68:O68"/>
    <mergeCell ref="A74:L74"/>
    <mergeCell ref="M74:O74"/>
    <mergeCell ref="A75:L75"/>
    <mergeCell ref="M75:O75"/>
    <mergeCell ref="P46:V46"/>
    <mergeCell ref="P47:V47"/>
    <mergeCell ref="P48:V48"/>
    <mergeCell ref="P49:V49"/>
    <mergeCell ref="P50:V50"/>
    <mergeCell ref="P51:V51"/>
    <mergeCell ref="P52:V52"/>
    <mergeCell ref="P53:V53"/>
    <mergeCell ref="P54:V54"/>
    <mergeCell ref="A82:L85"/>
    <mergeCell ref="M82:O85"/>
    <mergeCell ref="M86:O88"/>
    <mergeCell ref="A86:L88"/>
    <mergeCell ref="A89:L93"/>
    <mergeCell ref="M89:O93"/>
    <mergeCell ref="A94:L94"/>
    <mergeCell ref="M94:O94"/>
    <mergeCell ref="A95:L95"/>
    <mergeCell ref="M95:O95"/>
    <mergeCell ref="Q64:V64"/>
    <mergeCell ref="P65:V65"/>
    <mergeCell ref="A66:L66"/>
    <mergeCell ref="M66:O66"/>
    <mergeCell ref="P55:V55"/>
    <mergeCell ref="P56:V56"/>
    <mergeCell ref="P57:V57"/>
    <mergeCell ref="P58:V58"/>
    <mergeCell ref="P59:V59"/>
    <mergeCell ref="P60:V60"/>
    <mergeCell ref="P61:V61"/>
    <mergeCell ref="P62:V62"/>
    <mergeCell ref="P63:V63"/>
    <mergeCell ref="Q66:V66"/>
    <mergeCell ref="M61:O61"/>
    <mergeCell ref="A62:L62"/>
    <mergeCell ref="M62:O62"/>
    <mergeCell ref="A63:L63"/>
    <mergeCell ref="A65:L65"/>
    <mergeCell ref="A76:L76"/>
    <mergeCell ref="M76:O76"/>
    <mergeCell ref="A77:L77"/>
    <mergeCell ref="M77:O77"/>
    <mergeCell ref="A54:L56"/>
    <mergeCell ref="A57:L59"/>
    <mergeCell ref="M57:O59"/>
    <mergeCell ref="A60:L60"/>
    <mergeCell ref="M60:O60"/>
    <mergeCell ref="A61:L61"/>
    <mergeCell ref="A78:L81"/>
    <mergeCell ref="M78:O81"/>
    <mergeCell ref="P45:V45"/>
    <mergeCell ref="A69:L69"/>
    <mergeCell ref="M69:O69"/>
    <mergeCell ref="A71:L71"/>
    <mergeCell ref="M71:O71"/>
    <mergeCell ref="A72:L72"/>
    <mergeCell ref="M72:O72"/>
    <mergeCell ref="M73:O73"/>
    <mergeCell ref="A73:L73"/>
    <mergeCell ref="A45:L46"/>
    <mergeCell ref="M45:O46"/>
    <mergeCell ref="A47:L48"/>
    <mergeCell ref="M47:O48"/>
    <mergeCell ref="A49:L50"/>
    <mergeCell ref="M49:O50"/>
    <mergeCell ref="A51:L53"/>
    <mergeCell ref="M51:O53"/>
    <mergeCell ref="M54:O56"/>
    <mergeCell ref="M63:O63"/>
    <mergeCell ref="A64:L64"/>
    <mergeCell ref="M64:O64"/>
    <mergeCell ref="M65:O65"/>
    <mergeCell ref="P36:V36"/>
    <mergeCell ref="Q37:V37"/>
    <mergeCell ref="P38:V38"/>
    <mergeCell ref="P39:V39"/>
    <mergeCell ref="P40:V40"/>
    <mergeCell ref="P41:V41"/>
    <mergeCell ref="P42:V42"/>
    <mergeCell ref="P43:V43"/>
    <mergeCell ref="P44:V44"/>
    <mergeCell ref="A36:L37"/>
    <mergeCell ref="M36:O37"/>
    <mergeCell ref="A38:L38"/>
    <mergeCell ref="M38:O38"/>
    <mergeCell ref="M39:O40"/>
    <mergeCell ref="A39:L40"/>
    <mergeCell ref="A41:L42"/>
    <mergeCell ref="M41:O42"/>
    <mergeCell ref="A43:L44"/>
    <mergeCell ref="M43:O44"/>
    <mergeCell ref="A25:L25"/>
    <mergeCell ref="M25:O25"/>
    <mergeCell ref="M26:O26"/>
    <mergeCell ref="P32:V32"/>
    <mergeCell ref="Q33:V33"/>
    <mergeCell ref="P34:V34"/>
    <mergeCell ref="Q35:V35"/>
    <mergeCell ref="A34:L35"/>
    <mergeCell ref="M34:O35"/>
    <mergeCell ref="M29:O29"/>
    <mergeCell ref="Q29:V29"/>
    <mergeCell ref="A29:L29"/>
    <mergeCell ref="A30:L31"/>
    <mergeCell ref="M30:O31"/>
    <mergeCell ref="P30:V30"/>
    <mergeCell ref="Q31:V31"/>
    <mergeCell ref="A32:L33"/>
    <mergeCell ref="M32:O33"/>
    <mergeCell ref="M20:O20"/>
    <mergeCell ref="Q20:V20"/>
    <mergeCell ref="A21:L21"/>
    <mergeCell ref="M21:O21"/>
    <mergeCell ref="A22:L22"/>
    <mergeCell ref="M22:O22"/>
    <mergeCell ref="A23:L23"/>
    <mergeCell ref="M23:O23"/>
    <mergeCell ref="A24:L24"/>
    <mergeCell ref="M24:O24"/>
    <mergeCell ref="A14:V14"/>
    <mergeCell ref="M16:O16"/>
    <mergeCell ref="P16:V16"/>
    <mergeCell ref="A26:L26"/>
    <mergeCell ref="A27:V27"/>
    <mergeCell ref="A28:L28"/>
    <mergeCell ref="M28:O28"/>
    <mergeCell ref="P28:V28"/>
    <mergeCell ref="M19:O19"/>
    <mergeCell ref="Q19:V19"/>
    <mergeCell ref="A16:L16"/>
    <mergeCell ref="A17:L17"/>
    <mergeCell ref="M17:O17"/>
    <mergeCell ref="Q17:V17"/>
    <mergeCell ref="A18:L18"/>
    <mergeCell ref="M18:V18"/>
    <mergeCell ref="A19:L19"/>
    <mergeCell ref="Q21:V21"/>
    <mergeCell ref="Q22:V22"/>
    <mergeCell ref="Q23:V23"/>
    <mergeCell ref="Q24:V24"/>
    <mergeCell ref="P25:V25"/>
    <mergeCell ref="P26:V26"/>
    <mergeCell ref="A20:L20"/>
    <mergeCell ref="P9:V9"/>
    <mergeCell ref="D7:L7"/>
    <mergeCell ref="M7:O7"/>
    <mergeCell ref="P7:V7"/>
    <mergeCell ref="D8:L8"/>
    <mergeCell ref="M8:O8"/>
    <mergeCell ref="P8:V8"/>
    <mergeCell ref="D9:L9"/>
    <mergeCell ref="A1:F4"/>
    <mergeCell ref="A7:C7"/>
    <mergeCell ref="A8:C8"/>
    <mergeCell ref="A9:C9"/>
    <mergeCell ref="A10:C10"/>
    <mergeCell ref="A11:C11"/>
    <mergeCell ref="A12:C12"/>
    <mergeCell ref="A13:C13"/>
    <mergeCell ref="G1:S4"/>
    <mergeCell ref="M12:O12"/>
    <mergeCell ref="P12:V12"/>
    <mergeCell ref="D10:L10"/>
    <mergeCell ref="M10:O10"/>
    <mergeCell ref="P10:V10"/>
    <mergeCell ref="D11:L11"/>
    <mergeCell ref="M11:O11"/>
    <mergeCell ref="P11:V11"/>
    <mergeCell ref="D12:L12"/>
    <mergeCell ref="D13:L13"/>
    <mergeCell ref="M13:O13"/>
    <mergeCell ref="P13:V13"/>
    <mergeCell ref="T1:U1"/>
    <mergeCell ref="T2:U2"/>
    <mergeCell ref="T3:U3"/>
    <mergeCell ref="T4:V4"/>
    <mergeCell ref="A5:V5"/>
    <mergeCell ref="A6:V6"/>
    <mergeCell ref="M9:O9"/>
  </mergeCells>
  <dataValidations count="74">
    <dataValidation type="list" allowBlank="1" showErrorMessage="1" sqref="P121 P127 P131 P135" xr:uid="{9E52CDD6-70B4-4FB1-A217-469082F61FED}">
      <formula1>"Cuenta con subtítulos y LSC.,No cuenta con subtítulos y LSC.,No aplica,Cuenta con  LSC y no tiene apoyo de subtítulos.,Cuenta con subtítulos y no apoyo de LSC."</formula1>
    </dataValidation>
    <dataValidation type="list" allowBlank="1" showErrorMessage="1" sqref="P164" xr:uid="{FABE93AC-53B8-448E-B8E1-AF16DD1F3DCE}">
      <formula1>"Conoce los beneficios en licitaciones públicas.,No conoce los beneficios en licitaciones públicas.,No aplica."</formula1>
    </dataValidation>
    <dataValidation type="list" allowBlank="1" showErrorMessage="1" sqref="P95" xr:uid="{2B64EF86-C315-45AB-A94F-67F2BA56EBDA}">
      <formula1>"Silla tipo horuga en buen estado.,Silla tipo horuga en mal estado.,No aplica."</formula1>
    </dataValidation>
    <dataValidation type="list" allowBlank="1" showErrorMessage="1" sqref="P79 P83" xr:uid="{F7DBD313-92D0-4D77-866B-A8B6153A361D}">
      <formula1>"Cuenta con pasamanos a un solo costado de la escalera.,No aplica.,Cuenta con pasamanos en ambos costados."</formula1>
    </dataValidation>
    <dataValidation type="list" allowBlank="1" showErrorMessage="1" sqref="P167" xr:uid="{D6C6C40B-E456-4B29-A0EA-8EB8C61DBF3D}">
      <formula1>"Es posible realizar ajustes al puesto de trabajo.,No es posible realizar ajustes al puesto de trabajo.,No aplica."</formula1>
    </dataValidation>
    <dataValidation type="list" allowBlank="1" showErrorMessage="1" sqref="P45 P47 P49" xr:uid="{AEECA8BB-1EEF-44EB-AED9-88F9681B70B5}">
      <formula1>"Iluminación natural y artificial.,Iluminación artificial.,Iluminación natural.,No aplica."</formula1>
    </dataValidation>
    <dataValidation type="list" allowBlank="1" showErrorMessage="1" sqref="P117" xr:uid="{B9AACD09-0D79-447A-AFB9-157AA911FE4E}">
      <formula1>"La nomenclatura (número de bodega , dirección) de la empresa es visible desde el exterior.,La nomenclatura (número de bodega , dirección) de la empresa  No es visible desde el exterior.,No aplica."</formula1>
    </dataValidation>
    <dataValidation type="list" allowBlank="1" showErrorMessage="1" sqref="P7" xr:uid="{2974043D-267F-4C91-B96B-2815515ECA70}">
      <formula1>"Presencial,Virtual,Mixta,No aplica"</formula1>
    </dataValidation>
    <dataValidation type="list" allowBlank="1" showErrorMessage="1" sqref="P39 P41 P43" xr:uid="{5F4FD7A5-DEB4-44A3-92F7-F024AA3D3D2E}">
      <formula1>"Ventilación natural.,Ventilación artificial.,Ventilación natural y artificial., No cuenta con ventilación.,No aplica."</formula1>
    </dataValidation>
    <dataValidation type="list" allowBlank="1" showErrorMessage="1" sqref="P177" xr:uid="{24F6AF8D-3936-4A5F-AA91-9E6B2411124A}">
      <formula1>"Ajuste de lenguaje inclusivo en las comunicaciones internas.,Salas de lactancia.,Guarderías.,Programas de apoyo a mujeres cuidadoras.,Otros."</formula1>
    </dataValidation>
    <dataValidation type="list" allowBlank="1" showErrorMessage="1" sqref="P61" xr:uid="{0E2E4F0A-5176-48C7-8827-71B16775E320}">
      <formula1>"No cuenta con flexibilidad.,Si cuenta con flexibilidad. ,No aplica."</formula1>
    </dataValidation>
    <dataValidation type="list" allowBlank="1" showErrorMessage="1" sqref="P170" xr:uid="{1BAC082B-0925-4045-B7C9-241DEB73265A}">
      <formula1>"Es posible realizar ajustes en cuanto a carga laboral o trabajo bajo presión.,No es posible realizar ajustes en cuanto a carga laboral o trabajo bajo presión.,No aplica."</formula1>
    </dataValidation>
    <dataValidation type="list" allowBlank="1" showErrorMessage="1" sqref="M180" xr:uid="{4F2AE6D4-A078-4826-AB7C-045572DD3818}">
      <formula1>"Alto,Medio,Bajo"</formula1>
    </dataValidation>
    <dataValidation type="list" allowBlank="1" showErrorMessage="1" sqref="P174" xr:uid="{3DCB5E4C-B281-46F2-B0BE-2431B3BB4AC3}">
      <formula1>"Si ha contado con apoyo. ,No ha contado con apoyo.,Se cuenta con apoyo parcial.,No aplica. "</formula1>
    </dataValidation>
    <dataValidation type="list" allowBlank="1" showErrorMessage="1" sqref="P86" xr:uid="{952E1C3C-CD36-4C48-8ABC-5B470FFCCB41}">
      <formula1>"Cuenta con pasamanos (Altura de 85 a 100 cm).,No cuenta con pasamanos (Altura de 85 a 100 cm).,No aplica."</formula1>
    </dataValidation>
    <dataValidation type="list" allowBlank="1" showErrorMessage="1" sqref="G186 G188 G190 G192 G194 G196 G198 G200 G202" xr:uid="{012430C0-AC2B-4C14-8080-6E5D02321120}">
      <formula1>"No aplica,Aplica"</formula1>
    </dataValidation>
    <dataValidation type="list" allowBlank="1" showErrorMessage="1" sqref="P122 P124 P129 P132 P137" xr:uid="{0A4F3D20-5E9F-4F00-826D-D6247E86A74E}">
      <formula1>"Cuenta con audiodescripción y sistema braille.,No cuenta con audiodescripción y sistema braille.,No aplica.,Cuenta con audiodescripción y no cuenta con sistema braille.,No cuenta con audiodescripción y cuenta con sistema braille."</formula1>
    </dataValidation>
    <dataValidation type="list" allowBlank="1" showErrorMessage="1" sqref="P173" xr:uid="{34E42BC5-1034-4C1F-88C3-927889C62530}">
      <formula1>"Tiene conocimiento sobre las recomendaciones médicas asociadas a la PcD.,No tiene conocimiento sobre las recomendaciones médicas asociadas a la PcD.,No aplica."</formula1>
    </dataValidation>
    <dataValidation type="list" allowBlank="1" showErrorMessage="1" sqref="P30 P32 P34 P36" xr:uid="{9D5EC625-D0D0-4F19-95EA-5B84E0E88BDC}">
      <formula1>"Accesible para toda la población.,No accesible para USR.,No accesible para  personas con discapacidad física con apoyo diferente a silla de ruedas.,No accesible para personas con  discapacidad visual.,No accesible para personas con  discapacidad auditiva."&amp;",No accesible para personas con  discapacidad cognitiva.,No accesible para personas con TEA.,No accesible para personas con discapacidad psicosocial.,No aplica."</formula1>
    </dataValidation>
    <dataValidation type="list" allowBlank="1" showErrorMessage="1" sqref="P25" xr:uid="{6DF912F0-084E-4D48-8C7D-C7B6BC5FB570}">
      <formula1>"Presencia de señales podotáctiles continuas y en buen estado.,Presencia de señales podotáctiles discontinuas y en buen estado.,No aplica.,Presencia de señales podotáctiles continuas y en mal estado.,Presencia de señales podotáctiles discontinuas y en mal "&amp;"estado."</formula1>
    </dataValidation>
    <dataValidation type="list" allowBlank="1" showErrorMessage="1" sqref="P98 P101 P111 P114" xr:uid="{25C1469E-1FAA-43FA-AE5A-0F7B39596D08}">
      <formula1>"La señalización cumple con los criterios de material de acuerdo a la NTC.,La señalización No cumple con los criterios de material de acuerdo a la NTC.,No aplica."</formula1>
    </dataValidation>
    <dataValidation type="list" allowBlank="1" showErrorMessage="1" sqref="P99 P105:P106 P113" xr:uid="{8C918203-0BA7-405D-8191-0898CC289A71}">
      <formula1>"Cuenta con señalización en el área operativa.,Cuenta con señalización en el área administrativa.,Cuenta con señalización en ambas áreas.,No aplica."</formula1>
    </dataValidation>
    <dataValidation type="list" allowBlank="1" showErrorMessage="1" sqref="K190 K202" xr:uid="{9AF692E4-54F2-422C-81C5-D0939F36E948}">
      <formula1>"Para establecer una comunicación efectiva, es crucial utilizar diversas herramientas y técnicas como:  Correo electrónico, notas escritas, mensajes de texto, uso de WhatsApp y el centro de relevo, es importante tener en cuenta que al comunicar algo o dar "&amp;"instrucciones, se recomienda hacer contacto visual y mantener un tono de voz claro y alto sin llegar a gritar. Para garantizar la comprensión, se sugiere adaptar videos con Lengua de Señas Colombiana (LSC) siempre que sea posible. Estas medidas son compat"&amp;"ibles y beneficiosas para personas con hipoacusia o sordera, contribuyendo a una comunicación más inclusiva y efectiva.,No aplica"</formula1>
    </dataValidation>
    <dataValidation type="list" allowBlank="1" showErrorMessage="1" sqref="M167 M171" xr:uid="{4CDB864D-BE57-4FDF-B424-29307BDD183E}">
      <formula1>"Parcial,Si,No"</formula1>
    </dataValidation>
    <dataValidation type="list" allowBlank="1" showErrorMessage="1" sqref="P171" xr:uid="{587CBD36-A8C9-4A26-BCD6-DA45A5B48D51}">
      <formula1>"Cuenta con los números de contacto en caso de emergencia.,No cuenta con los números de contacto en caso de emergencia.,No aplica."</formula1>
    </dataValidation>
    <dataValidation type="list" allowBlank="1" showErrorMessage="1" sqref="P162" xr:uid="{F6A1EB26-7C7C-4E18-9A31-A939E170E12A}">
      <formula1>"La política se encuentra finalizada.,La política está en construcción.,No aplica."</formula1>
    </dataValidation>
    <dataValidation type="list" allowBlank="1" showErrorMessage="1" sqref="K196" xr:uid="{1235EAB5-C17B-4FED-94A9-51C8756A96D2}">
      <formula1>"Sea muy concreto con la información presentada, evitando el uso de bromas o palabras de doble sentido, es importante tener presente que el modelamiento de las actividades, favorece la integración de actividades. Al igual que para lograr una comunicación e"&amp;"fectiva y un aprendizaje óptimo, es esencial ofrecer instrucciones claras acompañadas de ejemplos prácticos, de esta forma permitir que la persona desarrolle prontamente la actividad para asegurar una comprensión profunda. En las etapas iniciales, planifi"&amp;"car las tareas diarias y semanales con el respaldo de una agenda que facilita la organización, y la retroalimentación constante, tanto de instrucciones como de tareas. Es fundamental para evaluar el progreso, de este modo se proporciona retroalimentación "&amp;"oportuna con ejemplos concretos contribuye al aprendizaje continuo y la mejora constante. ,No aplica"</formula1>
    </dataValidation>
    <dataValidation type="list" allowBlank="1" showErrorMessage="1" sqref="K186" xr:uid="{BCE2C1B2-23EE-4B7C-B1A7-FB981C8ACE41}">
      <formula1>"Eliminar toda clase de barreras arquitectónicas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54" xr:uid="{F145D9BB-05E7-4972-A5B3-7690E039FC64}">
      <formula1>"Es posible flexibilizar los niveles de ruido que tenga en su puesto de trabajo.,No es posible flexibilizar los niveles de ruido que tenga en su puesto de trabajo."</formula1>
    </dataValidation>
    <dataValidation type="list" allowBlank="1" showErrorMessage="1" sqref="P91" xr:uid="{89C5103F-49C4-4AC4-9241-BEC05E60A884}">
      <formula1>"Cuenta con lavamanos de altura de 75 cm.,No cuenta con lavamanos de altura de 75 cm.,No aplica."</formula1>
    </dataValidation>
    <dataValidation type="list" allowBlank="1" showErrorMessage="1" sqref="P176" xr:uid="{117141B5-B448-41C1-BBB5-831D0538C082}">
      <formula1>"Se cuenta con 30 minutos.,Se cuenta con 45 minutos.,Se cuenta con 60 minutos o más."</formula1>
    </dataValidation>
    <dataValidation type="list" allowBlank="1" showErrorMessage="1" sqref="P52 P55 P58" xr:uid="{3BAB7527-0657-4373-8DA1-3BEF02644E9C}">
      <formula1>"Se requiere el uso de elemento de protección auditiva.,No se requiere el uso de elementos de protección auditiva.,No aplica ."</formula1>
    </dataValidation>
    <dataValidation type="list" allowBlank="1" showErrorMessage="1" sqref="P168" xr:uid="{C442C900-9632-414E-BA12-A16394C8CC38}">
      <formula1>"Es posible realizar ajustes arquitectónicos.,No es posible realizar ajustes arquitectónicos.,No aplica."</formula1>
    </dataValidation>
    <dataValidation type="list" allowBlank="1" showErrorMessage="1" sqref="P26" xr:uid="{2F636411-0827-4B7A-8B89-F166898117A9}">
      <formula1>"Alumbrado público en buen estado.,Alumbrado público en mal estado.,No aplica"</formula1>
    </dataValidation>
    <dataValidation type="list" allowBlank="1" showErrorMessage="1" sqref="P94" xr:uid="{9DA34559-3D13-4BA0-B60F-088E257B0758}">
      <formula1>"Silla de evacuación en buen estado.,Silla de evacuación en mal estado.,No aplica."</formula1>
    </dataValidation>
    <dataValidation type="list" allowBlank="1" showErrorMessage="1" sqref="P51 P54 P57" xr:uid="{0B443B8D-6CFB-4111-8C92-56E91541A0E4}">
      <formula1>"Percepción de ruido bajo.,Percepción de ruido medio.,Percepción de ruido alto.,No aplica."</formula1>
    </dataValidation>
    <dataValidation type="list" allowBlank="1" showErrorMessage="1" sqref="P28" xr:uid="{FEFBDC6B-29CB-49DD-875F-64696FED8B2F}">
      <formula1>"Cuenta con ambas áreas.,Se cuenta con área operativa.,Se cuenta con área administrativa.,No aplica."</formula1>
    </dataValidation>
    <dataValidation type="list" allowBlank="1" showErrorMessage="1" sqref="P38 P96" xr:uid="{261333A6-2DC8-4BC4-8DD2-FE4A22A6CB43}">
      <formula1>"Con apoyo de la ARL.,Sin apoyo de la ARL.,No aplica ."</formula1>
    </dataValidation>
    <dataValidation type="list" allowBlank="1" showErrorMessage="1" sqref="P89" xr:uid="{BFF03954-E74A-45DD-9564-164C48EAA20E}">
      <formula1>"Cuenta con barras de agarre en ambos lados de la unidad sanitaria.,No cuenta con barras de agarre en ambos lados de la unidad sanitaria.,No aplica."</formula1>
    </dataValidation>
    <dataValidation type="list" allowBlank="1" showErrorMessage="1" sqref="P169" xr:uid="{DE76F15F-F333-4649-9262-3D568E2C963E}">
      <formula1>"Es posible realizar ajustes en documentación y presentación de la información.,No es posible realizar ajustes en documentación y presentación de la información.,No aplica."</formula1>
    </dataValidation>
    <dataValidation type="list" allowBlank="1" showErrorMessage="1" sqref="P165" xr:uid="{93FE97A7-0CBF-4E56-9DC8-6B636280A033}">
      <formula1>"Conoce los beneficios en cuota de aprendiz SENA.,No conoce los beneficios en cuota de aprendiz SENA.,No aplica."</formula1>
    </dataValidation>
    <dataValidation type="list" allowBlank="1" showErrorMessage="1" sqref="P80 P84 P87" xr:uid="{265BADD5-251F-41AE-97FC-1D7CD5F983C6}">
      <formula1>"Cuenta con bandas antideslizantes.,No cuenta con bandas antideslizantes.,No aplica."</formula1>
    </dataValidation>
    <dataValidation type="list" allowBlank="1" showErrorMessage="1" sqref="P123 P126 P130 P133 P138" xr:uid="{A09A112E-7E31-480D-BAAF-C89237447C12}">
      <formula1>"Cuenta con vídeos, imágenes y pictogramas.,No cuenta con vídeos, imágenes y pictogramas.,No aplica.,Cuenta con vídeos.,Cuenta con vídeos e imágenes.,Cuenta con vídeos y pictogramas.,Cuenta con imágenes.,Cuenta con imágenes y pictogramas.,Cuenta con pictog"&amp;"ramas."</formula1>
    </dataValidation>
    <dataValidation type="list" allowBlank="1" showErrorMessage="1" sqref="P143:P146 P150" xr:uid="{8A8FF3D4-F055-48C4-804C-E9F332373C57}">
      <formula1>"Cuenta con accesibilidad cognitiva (lectura fácil - lenguaje sencillo).,No cuenta con accesibilidad cognitiva (lectura fácil - lenguaje sencillo).,No aplica."</formula1>
    </dataValidation>
    <dataValidation type="list" allowBlank="1" showErrorMessage="1" sqref="P119" xr:uid="{ED7E867F-FCBB-4D51-935B-FEAD0281CDF1}">
      <formula1>"La empresa cuenta con citofono.,La empresa No cuenta con citofono.,No aplica.,La empresa cuenta con teléfono anuncio ingreso "</formula1>
    </dataValidation>
    <dataValidation type="list" allowBlank="1" showErrorMessage="1" sqref="P40 P42 P44" xr:uid="{75C9C892-0B56-4D58-8521-05D929B8F6FA}">
      <formula1>"La organización ha realizado mediciones higiénicas relacionadas con ventilación.,La organización NO ha realizado mediciones higiénicas relacionadas con ventilación.,No aplica."</formula1>
    </dataValidation>
    <dataValidation type="list" allowBlank="1" showErrorMessage="1" sqref="P97 P100" xr:uid="{1275D050-98EF-4502-9A21-CA2066207BD8}">
      <formula1>"La señalización cumple con los criterios de altura de acuerdo a la NTC (Altura de 120 cm a 160 cm).,La señalización No cumple con los criterios de altura de acuerdo a la NTC (Altura de 120 cm a 160 cm).,No aplica.,No se cuenta con señalización de orientac"&amp;"ión."</formula1>
    </dataValidation>
    <dataValidation type="list" allowBlank="1" showErrorMessage="1" sqref="P92" xr:uid="{1E4134C4-CA19-4B8D-B62F-507C4A33FEEC}">
      <formula1>"Cuenta con timbre de emergencia situado al lado del sanitario.,No cuenta con timbre de emergencia situado al lado del sanitario.,No aplica."</formula1>
    </dataValidation>
    <dataValidation type="list" allowBlank="1" showErrorMessage="1" sqref="P166" xr:uid="{3F1ED470-A409-48D3-AA2B-A7E874674C6F}">
      <formula1>"Conoce la normatividad referente al certificado de discapacidad.,No conoce la normatividad referente al certificado de discapacidad.,No aplica."</formula1>
    </dataValidation>
    <dataValidation type="list" allowBlank="1" showErrorMessage="1" sqref="P118" xr:uid="{E43B66F8-6C5E-40E9-B24F-6D2A054695AA}">
      <formula1>"El timbre cuenta con apoyo auditivo.,El timbre cuenta con apoyo visual.,El timbre cuenta con apoyo visual y auditivo.,Cuenta con timbre pero no es accesible para PCD.,No aplica."</formula1>
    </dataValidation>
    <dataValidation type="list" allowBlank="1" showErrorMessage="1" sqref="M17 M19:M26 M28:M30 M32 M34 M36 M38:M39 M41 M43 M45 M47 M49 M51 M54 M57 M60:M69 M71:M78 M82 M86 M89 M94:M97 M99 M102 M105:M111 M113 M116 M120:M121 M124 M127 M131 M134 M139:M140 M143:M149 M151 M154 M157:M163 M174 M176:M177" xr:uid="{FF00700B-6851-48AE-862C-2F51C622422E}">
      <formula1>"No,Si,Parcial"</formula1>
    </dataValidation>
    <dataValidation type="list" allowBlank="1" showErrorMessage="1" sqref="P163" xr:uid="{73219F1B-1F1B-4637-94F4-C73B689AD60D}">
      <formula1>"Conoce los beneficios tributarios.,No conoce los beneficios tributarios.,No aplica."</formula1>
    </dataValidation>
    <dataValidation type="list" allowBlank="1" showErrorMessage="1" sqref="K188" xr:uid="{B7B29A9B-3DE7-46AE-9129-CFD7A728F244}">
      <formula1>"Realizar los ajustes arquitectónicos correspondientes en el puesto de trabajo, las áreas comunes, implementación de baños para personas con discapacidad, al igual que la necesidad de rampas de acceso, asegurándose de eliminar toda clase de barreras arquit"&amp;"ectónicas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60" xr:uid="{905A34AE-2E86-468A-9508-93A8BA17918A}">
      <formula1>"La ARL apoya mensual.,La ARL apoya Trimestral.,La ARL apoya Semestral.,La ARL apoya Anual.,Nunca lo han solicitado.,No aplica."</formula1>
    </dataValidation>
    <dataValidation type="list" allowBlank="1" showErrorMessage="1" sqref="P81 P85 P88" xr:uid="{1C56C826-5957-40CD-A50A-C51DD1563373}">
      <formula1>"Cuenta con las características básicas de un diseño seguro (Ancho mínimo 90 cm).,No  cuenta con las características básicas de un diseño seguro (Ancho mínimo 90 cm).,No aplica."</formula1>
    </dataValidation>
    <dataValidation type="list" allowBlank="1" showErrorMessage="1" sqref="P116" xr:uid="{DB3C5FAE-8770-4773-8B12-64441245BEBA}">
      <formula1>"El nombre de la empresa es visible desde el exterior.,El nombre de la empresa No es visible desde el exterior.,No aplica."</formula1>
    </dataValidation>
    <dataValidation type="list" allowBlank="1" showErrorMessage="1" sqref="P172" xr:uid="{C38A9537-000C-46AE-883F-B51430496A8E}">
      <formula1>"Conoce los puntos de atención en caso de emergencia (clinicas, hospitales).,No conoce los puntos de atención en caso de emergencia (clinicas, hospitales).,No aplica."</formula1>
    </dataValidation>
    <dataValidation type="list" allowBlank="1" showErrorMessage="1" sqref="K198" xr:uid="{606689E2-FF60-4EA3-9B41-BBC85E382E41}">
      <formula1>"Garantice que el ambiente sea agradable, ventilado y sin interferencias a fin de lograr toda su atención. Evalúe si la persona requiere información y entrenamiento previo en el uso de maquinaria, equipo y otros materiales para realizar sus actividades. Us"&amp;"ar colores con poca saturación para propiciar espacios de trabajo relajantes.,No aplica"</formula1>
    </dataValidation>
    <dataValidation type="list" allowBlank="1" showErrorMessage="1" sqref="P102 P140 P151" xr:uid="{B6E0AF20-202E-41AA-B40B-87D3CF9F7611}">
      <formula1>"Cuenta con la posibilidad de flexibilizar rutinas laborales.,No cuenta con la posibilidad de flexibilizar rutinas laborales.,No aplica. "</formula1>
    </dataValidation>
    <dataValidation type="list" allowBlank="1" showErrorMessage="1" sqref="O212" xr:uid="{7B9BE6CC-8769-4E14-AC37-D26869E96B88}">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P78 P82" xr:uid="{2EB1E234-2D15-4FB6-8FC3-38C1A4970B75}">
      <formula1>"Cuenta con pasamanos (Altura de 85 a 100 cm).,No cuenta con pasamanos  (Altura de 85 a 100 cm).,No aplica."</formula1>
    </dataValidation>
    <dataValidation type="list" allowBlank="1" showErrorMessage="1" sqref="C212" xr:uid="{9670EFA2-82D2-4A11-B944-9C917C705DB4}">
      <formula1>"Sandra Milena Pachón Rojas,Sara Zambrano,Alejandra Pérez,Lenny Lugo,Angie Díaz,Adriana Viveros,Janeth Camargo,Gabriela Rubiano Isaza,Andrés Montes,Sara Sánchez,Catalina Salazar"</formula1>
    </dataValidation>
    <dataValidation type="list" allowBlank="1" showErrorMessage="1" sqref="K194" xr:uid="{30436212-0A8F-4079-B693-A6E291599761}">
      <formula1>"Para lograr una comunicación efectiva y un aprendizaje óptimo, es esencial ofrecer instrucciones claras acompañadas de ejemplos prácticos, de esta forma permitir que la persona desarrolle prontamente la actividad para asegurar una comprensión profunda. En"&amp;" las etapas iniciales, planificar las tareas diarias y semanales con el respaldo de una agenda que facilita la organización, y la retroalimentación constante, tanto de instrucciones como de tareas. Es fundamental para evaluar el progreso, de este modo se "&amp;"proporciona retroalimentación oportuna con ejemplos concretos contribuye al aprendizaje continuo y la mejora constante.,No aplica"</formula1>
    </dataValidation>
    <dataValidation type="list" allowBlank="1" showErrorMessage="1" sqref="P46 P48 P50" xr:uid="{29C7B387-63CE-4A33-BCA6-0FFE4C864E0A}">
      <formula1>"La organización ha realizado mediciones higiénicas en iluminación.,La organización no ha realizado mediciones higiénicas en iluminación.,No aplica."</formula1>
    </dataValidation>
    <dataValidation type="list" allowBlank="1" showErrorMessage="1" sqref="P93" xr:uid="{4AD6074A-8126-4D90-8E1C-6AE655209065}">
      <formula1>"Los accesorios interfieren con las barras de apoyo.,Los accesorios NO  interfieren con las barras de apoyo.,No aplica."</formula1>
    </dataValidation>
    <dataValidation type="list" allowBlank="1" showErrorMessage="1" sqref="P112 P115" xr:uid="{10439384-DC5D-43CC-BD01-BCD7E006CFC0}">
      <formula1>"La señalización cumple con los criterios de accesibilidad ( Braille, LSC, pictograma y letras ) de acuerdo a la NTC.,La señalización No cumple con los criterios de accesibilidad (Braille, LSC, pictograma y letras ) de acuerdo a la NTC.,No se cuenta con se"&amp;"ñalización de orientación.,No aplica."</formula1>
    </dataValidation>
    <dataValidation type="list" allowBlank="1" showErrorMessage="1" sqref="P62:P63 P65" xr:uid="{B2528D09-1E66-4265-9CBC-37D3A96112CE}">
      <formula1>"SI,NO,Esta en construcción"</formula1>
    </dataValidation>
    <dataValidation type="list" allowBlank="1" showErrorMessage="1" sqref="K192 K200" xr:uid="{2DCE187C-3463-4850-AAE2-6524616CDDF4}">
      <formula1>"En caso de que se presente una fatiga visual, se recomienda alternar las tareas de escritura. Garantizar una buena iluminación en el sitio de trabajo. Evitar cambios de los implementos de trabajo, como también la ubicación de objetos grandes que puedan in"&amp;"terferir con la movilización, se recomienda comunicar los cambios de posiciones. Permitir que la persona pueda grabar las sesiones o procesos de capacitación. Promover el orden del puesto de trabajo con la finalidad de prevenir accidentes o incidentes de "&amp;"trabajo. En caso de ser requerido colocar un monitor amplio para la elaboración de las tareas. Contar con único lugar de trabajo, para así favorecer la orientación espacio temporal Recorrido en la instalación, para así lograr comprender dimensiones, ubica"&amp;"ción y espacio de la misma. ,No aplica"</formula1>
    </dataValidation>
    <dataValidation type="list" allowBlank="1" showErrorMessage="1" sqref="P53 P56 P59" xr:uid="{F5F74122-70CB-4FD2-AE66-FCC26CB0600B}">
      <formula1>"La organización ha realizado mediciones higiénicas  de ruido.,La organización No ha realizado mediciones higiénicas  de ruido.,No aplica."</formula1>
    </dataValidation>
    <dataValidation type="list" allowBlank="1" showErrorMessage="1" sqref="P158:P159" xr:uid="{EF4D8F5E-4A4B-44BE-9DEB-AB5039668826}">
      <formula1>"Cuenta con capacitación.,Cuenta con experiencia.,Cuenta con capacitación y experiencia.,No aplica."</formula1>
    </dataValidation>
    <dataValidation type="list" allowBlank="1" showErrorMessage="1" sqref="P90" xr:uid="{5E906F0F-EC08-4139-88EE-E8B9E5DF1FA2}">
      <formula1>"Cuenta con espacio mínimo de lado o al frente de 120 cm.,No cuenta con espacio mínimo de lado o al frente de 120 cm.,No aplica."</formula1>
    </dataValidation>
    <dataValidation type="list" allowBlank="1" showErrorMessage="1" sqref="P134 P149" xr:uid="{7AF51D69-3EFF-4763-B422-949CCECF5550}">
      <formula1>"Trámites administrativos.,Proceso de autocapacitación.,Trámites administrativos y proceso de autocapacitación.,No aplica."</formula1>
    </dataValidation>
    <dataValidation type="list" allowBlank="1" showErrorMessage="1" sqref="P60" xr:uid="{7090A57F-39C1-43B9-BC81-7F19EEED22F4}">
      <formula1>"No cuenta con flexibilidad de trabajo.,Si cuenta con flexibilidad de trabajo.,No aplica."</formula1>
    </dataValidation>
    <dataValidation type="list" allowBlank="1" showErrorMessage="1" sqref="P139" xr:uid="{D7B731EA-8149-4C45-9E02-173E659446A0}">
      <formula1>"Cuenta con solo alarma auditiva.,Cuenta con solo alarma visual.,Cuenta con alarma auditiva y visual.,No aplica."</formula1>
    </dataValidation>
  </dataValidations>
  <printOptions horizontalCentered="1" gridLines="1"/>
  <pageMargins left="0.7" right="0.7" top="0.75" bottom="0.75" header="0" footer="0"/>
  <pageSetup paperSize="9" scale="54" fitToHeight="0" pageOrder="overThenDown" orientation="portrait"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M13"/>
  <sheetViews>
    <sheetView topLeftCell="A5" workbookViewId="0">
      <selection activeCell="A8" sqref="A8:G8"/>
    </sheetView>
  </sheetViews>
  <sheetFormatPr baseColWidth="10" defaultColWidth="12.5703125" defaultRowHeight="15.75" customHeight="1"/>
  <cols>
    <col min="1" max="4" width="5.7109375" customWidth="1"/>
    <col min="5" max="5" width="11.85546875" customWidth="1"/>
    <col min="6" max="6" width="8.85546875" customWidth="1"/>
    <col min="7" max="7" width="13.140625" customWidth="1"/>
    <col min="8" max="8" width="21" customWidth="1"/>
    <col min="9" max="9" width="14.5703125" customWidth="1"/>
    <col min="10" max="13" width="14.28515625" customWidth="1"/>
  </cols>
  <sheetData>
    <row r="1" spans="1:13" ht="12.75">
      <c r="A1" s="77" t="e" vm="40">
        <v>#VALUE!</v>
      </c>
      <c r="B1" s="57"/>
      <c r="C1" s="57"/>
      <c r="D1" s="57"/>
      <c r="E1" s="57"/>
      <c r="F1" s="58"/>
      <c r="G1" s="56" t="s">
        <v>148</v>
      </c>
      <c r="H1" s="57"/>
      <c r="I1" s="58"/>
      <c r="J1" s="70" t="s">
        <v>132</v>
      </c>
      <c r="K1" s="71"/>
      <c r="L1" s="157" t="s">
        <v>265</v>
      </c>
      <c r="M1" s="71"/>
    </row>
    <row r="2" spans="1:13" ht="12.75">
      <c r="A2" s="59"/>
      <c r="B2" s="60"/>
      <c r="C2" s="60"/>
      <c r="D2" s="60"/>
      <c r="E2" s="60"/>
      <c r="F2" s="61"/>
      <c r="G2" s="59"/>
      <c r="H2" s="60"/>
      <c r="I2" s="61"/>
      <c r="J2" s="70" t="s">
        <v>149</v>
      </c>
      <c r="K2" s="71"/>
      <c r="L2" s="70" t="s">
        <v>266</v>
      </c>
      <c r="M2" s="71"/>
    </row>
    <row r="3" spans="1:13" ht="12.75">
      <c r="A3" s="59"/>
      <c r="B3" s="60"/>
      <c r="C3" s="60"/>
      <c r="D3" s="60"/>
      <c r="E3" s="60"/>
      <c r="F3" s="61"/>
      <c r="G3" s="59"/>
      <c r="H3" s="60"/>
      <c r="I3" s="61"/>
      <c r="J3" s="70" t="s">
        <v>151</v>
      </c>
      <c r="K3" s="71"/>
      <c r="L3" s="156">
        <v>45322</v>
      </c>
      <c r="M3" s="71"/>
    </row>
    <row r="4" spans="1:13" ht="12.75">
      <c r="A4" s="62"/>
      <c r="B4" s="63"/>
      <c r="C4" s="63"/>
      <c r="D4" s="63"/>
      <c r="E4" s="63"/>
      <c r="F4" s="64"/>
      <c r="G4" s="62"/>
      <c r="H4" s="63"/>
      <c r="I4" s="64"/>
      <c r="J4" s="72" t="s">
        <v>133</v>
      </c>
      <c r="K4" s="73"/>
      <c r="L4" s="73"/>
      <c r="M4" s="71"/>
    </row>
    <row r="5" spans="1:13" ht="57" customHeight="1">
      <c r="A5" s="158" t="s">
        <v>267</v>
      </c>
      <c r="B5" s="73"/>
      <c r="C5" s="73"/>
      <c r="D5" s="73"/>
      <c r="E5" s="73"/>
      <c r="F5" s="73"/>
      <c r="G5" s="73"/>
      <c r="H5" s="73"/>
      <c r="I5" s="73"/>
      <c r="J5" s="73"/>
      <c r="K5" s="73"/>
      <c r="L5" s="73"/>
      <c r="M5" s="71"/>
    </row>
    <row r="6" spans="1:13" ht="28.5" customHeight="1">
      <c r="A6" s="159" t="s">
        <v>268</v>
      </c>
      <c r="B6" s="73"/>
      <c r="C6" s="73"/>
      <c r="D6" s="73"/>
      <c r="E6" s="73"/>
      <c r="F6" s="73"/>
      <c r="G6" s="73"/>
      <c r="H6" s="73"/>
      <c r="I6" s="73"/>
      <c r="J6" s="73"/>
      <c r="K6" s="73"/>
      <c r="L6" s="73"/>
      <c r="M6" s="71"/>
    </row>
    <row r="7" spans="1:13" ht="30.75" customHeight="1">
      <c r="A7" s="160" t="s">
        <v>269</v>
      </c>
      <c r="B7" s="73"/>
      <c r="C7" s="73"/>
      <c r="D7" s="73"/>
      <c r="E7" s="73"/>
      <c r="F7" s="73"/>
      <c r="G7" s="71"/>
      <c r="H7" s="34" t="s">
        <v>270</v>
      </c>
      <c r="I7" s="160" t="s">
        <v>271</v>
      </c>
      <c r="J7" s="73"/>
      <c r="K7" s="73"/>
      <c r="L7" s="73"/>
      <c r="M7" s="71"/>
    </row>
    <row r="8" spans="1:13" ht="135.75" customHeight="1">
      <c r="A8" s="161"/>
      <c r="B8" s="57"/>
      <c r="C8" s="57"/>
      <c r="D8" s="57"/>
      <c r="E8" s="57"/>
      <c r="F8" s="57"/>
      <c r="G8" s="58"/>
      <c r="H8" s="35" t="s">
        <v>61</v>
      </c>
      <c r="I8" s="162" t="e" vm="41">
        <f>VLOOKUP(H8,caracterizacion!A$10:B$49,2,0)</f>
        <v>#VALUE!</v>
      </c>
      <c r="J8" s="57"/>
      <c r="K8" s="57"/>
      <c r="L8" s="57"/>
      <c r="M8" s="58"/>
    </row>
    <row r="9" spans="1:13" ht="135.75" customHeight="1">
      <c r="A9" s="161"/>
      <c r="B9" s="57"/>
      <c r="C9" s="57"/>
      <c r="D9" s="57"/>
      <c r="E9" s="57"/>
      <c r="F9" s="57"/>
      <c r="G9" s="58"/>
      <c r="H9" s="35" t="s">
        <v>47</v>
      </c>
      <c r="I9" s="162" t="e" vm="42">
        <f>VLOOKUP(H9,caracterizacion!A$10:B$49,2,0)</f>
        <v>#VALUE!</v>
      </c>
      <c r="J9" s="57"/>
      <c r="K9" s="57"/>
      <c r="L9" s="57"/>
      <c r="M9" s="58"/>
    </row>
    <row r="10" spans="1:13" ht="135.75" customHeight="1">
      <c r="A10" s="161"/>
      <c r="B10" s="57"/>
      <c r="C10" s="57"/>
      <c r="D10" s="57"/>
      <c r="E10" s="57"/>
      <c r="F10" s="57"/>
      <c r="G10" s="58"/>
      <c r="H10" s="35" t="s">
        <v>62</v>
      </c>
      <c r="I10" s="162" t="e" vm="43">
        <f>VLOOKUP(H10,caracterizacion!A10:B49,2,0)</f>
        <v>#VALUE!</v>
      </c>
      <c r="J10" s="57"/>
      <c r="K10" s="57"/>
      <c r="L10" s="57"/>
      <c r="M10" s="58"/>
    </row>
    <row r="11" spans="1:13" ht="135.75" customHeight="1">
      <c r="A11" s="161"/>
      <c r="B11" s="57"/>
      <c r="C11" s="57"/>
      <c r="D11" s="57"/>
      <c r="E11" s="57"/>
      <c r="F11" s="57"/>
      <c r="G11" s="58"/>
      <c r="H11" s="35" t="s">
        <v>54</v>
      </c>
      <c r="I11" s="162" t="e" vm="44">
        <f>VLOOKUP(H11,caracterizacion!A$10:B$49,2,0)</f>
        <v>#VALUE!</v>
      </c>
      <c r="J11" s="57"/>
      <c r="K11" s="57"/>
      <c r="L11" s="57"/>
      <c r="M11" s="58"/>
    </row>
    <row r="12" spans="1:13" ht="135.75" customHeight="1">
      <c r="A12" s="161"/>
      <c r="B12" s="57"/>
      <c r="C12" s="57"/>
      <c r="D12" s="57"/>
      <c r="E12" s="57"/>
      <c r="F12" s="57"/>
      <c r="G12" s="58"/>
      <c r="H12" s="35" t="s">
        <v>55</v>
      </c>
      <c r="I12" s="162" t="e" vm="45">
        <f>VLOOKUP(H12,caracterizacion!A$10:B$49,2,0)</f>
        <v>#VALUE!</v>
      </c>
      <c r="J12" s="57"/>
      <c r="K12" s="57"/>
      <c r="L12" s="57"/>
      <c r="M12" s="58"/>
    </row>
    <row r="13" spans="1:13" ht="135.75" customHeight="1">
      <c r="A13" s="163"/>
      <c r="B13" s="164"/>
      <c r="C13" s="164"/>
      <c r="D13" s="164"/>
      <c r="E13" s="164"/>
      <c r="F13" s="164"/>
      <c r="G13" s="164"/>
      <c r="H13" s="39" t="s">
        <v>48</v>
      </c>
      <c r="I13" s="165" t="e" vm="46">
        <f>VLOOKUP(H13,caracterizacion!A$10:B$49,2,0)</f>
        <v>#VALUE!</v>
      </c>
      <c r="J13" s="164"/>
      <c r="K13" s="164"/>
      <c r="L13" s="164"/>
      <c r="M13" s="164"/>
    </row>
  </sheetData>
  <mergeCells count="25">
    <mergeCell ref="A13:G13"/>
    <mergeCell ref="I13:M13"/>
    <mergeCell ref="A9:G9"/>
    <mergeCell ref="I9:M9"/>
    <mergeCell ref="A10:G10"/>
    <mergeCell ref="I10:M10"/>
    <mergeCell ref="A11:G11"/>
    <mergeCell ref="I11:M11"/>
    <mergeCell ref="A12:G12"/>
    <mergeCell ref="I12:M12"/>
    <mergeCell ref="A5:M5"/>
    <mergeCell ref="A6:M6"/>
    <mergeCell ref="A7:G7"/>
    <mergeCell ref="I7:M7"/>
    <mergeCell ref="A8:G8"/>
    <mergeCell ref="I8:M8"/>
    <mergeCell ref="L3:M3"/>
    <mergeCell ref="J4:M4"/>
    <mergeCell ref="A1:F4"/>
    <mergeCell ref="G1:I4"/>
    <mergeCell ref="J1:K1"/>
    <mergeCell ref="L1:M1"/>
    <mergeCell ref="J2:K2"/>
    <mergeCell ref="L2:M2"/>
    <mergeCell ref="J3:K3"/>
  </mergeCells>
  <printOptions horizontalCentered="1" gridLines="1"/>
  <pageMargins left="0.7" right="0.7" top="0.75" bottom="0.75" header="0" footer="0"/>
  <pageSetup paperSize="9" scale="59" fitToHeight="0" pageOrder="overThenDown" orientation="portrait" cellComments="atEnd" r:id="rId1"/>
  <extLst>
    <ext xmlns:x14="http://schemas.microsoft.com/office/spreadsheetml/2009/9/main" uri="{CCE6A557-97BC-4b89-ADB6-D9C93CAAB3DF}">
      <x14:dataValidations xmlns:xm="http://schemas.microsoft.com/office/excel/2006/main" count="1">
        <x14:dataValidation type="list" allowBlank="1" showErrorMessage="1" xr:uid="{00000000-0002-0000-0400-000000000000}">
          <x14:formula1>
            <xm:f>caracterizacion!$A$11:$A$49</xm:f>
          </x14:formula1>
          <xm:sqref>H8 H9 H10 H11 H12 H13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caracterizacion</vt:lpstr>
      <vt:lpstr>2. EVALUACIÓN DE ACCESIBILIDAD</vt:lpstr>
      <vt:lpstr>2.1 EVALUACIÓN FOTOS</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2026-01-06T16:49:50Z</cp:lastPrinted>
  <dcterms:created xsi:type="dcterms:W3CDTF">2026-01-05T14:27:58Z</dcterms:created>
  <dcterms:modified xsi:type="dcterms:W3CDTF">2026-03-06T15:36:09Z</dcterms:modified>
</cp:coreProperties>
</file>