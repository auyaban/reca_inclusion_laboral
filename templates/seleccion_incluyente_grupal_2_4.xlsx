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aron\Desktop\RECA_INCLUSION_LABORAL\templates\"/>
    </mc:Choice>
  </mc:AlternateContent>
  <xr:revisionPtr revIDLastSave="0" documentId="13_ncr:1_{4BE592D5-A229-4DD0-BC1E-7BD0C9C412EC}" xr6:coauthVersionLast="47" xr6:coauthVersionMax="47" xr10:uidLastSave="{00000000-0000-0000-0000-000000000000}"/>
  <bookViews>
    <workbookView xWindow="-120" yWindow="-120" windowWidth="29040" windowHeight="15720" xr2:uid="{00000000-000D-0000-FFFF-FFFF00000000}"/>
  </bookViews>
  <sheets>
    <sheet name="4. PROCESO DE SELECCIÓN INCLUYE" sheetId="1" r:id="rId1"/>
    <sheet name="BD" sheetId="2" state="hidden" r:id="rId2"/>
  </sheets>
  <definedNames>
    <definedName name="Vinculados">BD!$C:$O</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03" i="2" l="1"/>
  <c r="A1202" i="2"/>
  <c r="A1201" i="2"/>
  <c r="A1200" i="2"/>
  <c r="A1199" i="2"/>
  <c r="A1198" i="2"/>
  <c r="A1197" i="2"/>
  <c r="A1196" i="2"/>
  <c r="A1195" i="2"/>
  <c r="A1194" i="2"/>
  <c r="A1193" i="2"/>
  <c r="A1192" i="2"/>
  <c r="A1191" i="2"/>
  <c r="A1190" i="2"/>
  <c r="A1189" i="2"/>
  <c r="A1188" i="2"/>
  <c r="A1187" i="2"/>
  <c r="A1186" i="2"/>
  <c r="A1185" i="2"/>
  <c r="A1184" i="2"/>
  <c r="A1183" i="2"/>
  <c r="A1182" i="2"/>
  <c r="A1181" i="2"/>
  <c r="A1180" i="2"/>
  <c r="A1179" i="2"/>
  <c r="A1178" i="2"/>
  <c r="A1177" i="2"/>
  <c r="A1176" i="2"/>
  <c r="A1175" i="2"/>
  <c r="A1174" i="2"/>
  <c r="A1173" i="2"/>
  <c r="A1172" i="2"/>
  <c r="A1171" i="2"/>
  <c r="A1170" i="2"/>
  <c r="A1169" i="2"/>
  <c r="A1168" i="2"/>
  <c r="A1167" i="2"/>
  <c r="A1166" i="2"/>
  <c r="A1165" i="2"/>
  <c r="A1164" i="2"/>
  <c r="A1163" i="2"/>
  <c r="A1162" i="2"/>
  <c r="A1161" i="2"/>
  <c r="A1160" i="2"/>
  <c r="A1159" i="2"/>
  <c r="A1158" i="2"/>
  <c r="A1157" i="2"/>
  <c r="A1156" i="2"/>
  <c r="A1155" i="2"/>
  <c r="A1154" i="2"/>
  <c r="A1153" i="2"/>
  <c r="A1152" i="2"/>
  <c r="A1151" i="2"/>
  <c r="A1150" i="2"/>
  <c r="A1149" i="2"/>
  <c r="A1148" i="2"/>
  <c r="A1147" i="2"/>
  <c r="A1146" i="2"/>
  <c r="A1145" i="2"/>
  <c r="A1144" i="2"/>
  <c r="A1143" i="2"/>
  <c r="A1142" i="2"/>
  <c r="A1141" i="2"/>
  <c r="A1140" i="2"/>
  <c r="A1139" i="2"/>
  <c r="A1138" i="2"/>
  <c r="A1137" i="2"/>
  <c r="A1136" i="2"/>
  <c r="A1135" i="2"/>
  <c r="A1134" i="2"/>
  <c r="A1133" i="2"/>
  <c r="A1132" i="2"/>
  <c r="A1131" i="2"/>
  <c r="A1130" i="2"/>
  <c r="A1129" i="2"/>
  <c r="A1128" i="2"/>
  <c r="A1127" i="2"/>
  <c r="A1126" i="2"/>
  <c r="A1125" i="2"/>
  <c r="A1124" i="2"/>
  <c r="A1123" i="2"/>
  <c r="A1122" i="2"/>
  <c r="A1121" i="2"/>
  <c r="A1120" i="2"/>
  <c r="A1119" i="2"/>
  <c r="A1118" i="2"/>
  <c r="A1117" i="2"/>
  <c r="A1116" i="2"/>
  <c r="A1115" i="2"/>
  <c r="A1114" i="2"/>
  <c r="A1113" i="2"/>
  <c r="A1112" i="2"/>
  <c r="A1111" i="2"/>
  <c r="A1110" i="2"/>
  <c r="A1109" i="2"/>
  <c r="A1108" i="2"/>
  <c r="A1107" i="2"/>
  <c r="A1106" i="2"/>
  <c r="A1105" i="2"/>
  <c r="A1104" i="2"/>
  <c r="A1103" i="2"/>
  <c r="A1102" i="2"/>
  <c r="A1101" i="2"/>
  <c r="A1100" i="2"/>
  <c r="A1099" i="2"/>
  <c r="A1098" i="2"/>
  <c r="A1097" i="2"/>
  <c r="A1096" i="2"/>
  <c r="A1095" i="2"/>
  <c r="A1094" i="2"/>
  <c r="A1093" i="2"/>
  <c r="A1092" i="2"/>
  <c r="A1091" i="2"/>
  <c r="A1090" i="2"/>
  <c r="A1089" i="2"/>
  <c r="A1088" i="2"/>
  <c r="A1087" i="2"/>
  <c r="A1086" i="2"/>
  <c r="A1085" i="2"/>
  <c r="A1084" i="2"/>
  <c r="A1083" i="2"/>
  <c r="A1082" i="2"/>
  <c r="A1081" i="2"/>
  <c r="A1080" i="2"/>
  <c r="A1079" i="2"/>
  <c r="A1078" i="2"/>
  <c r="A1077" i="2"/>
  <c r="A1076" i="2"/>
  <c r="A1075" i="2"/>
  <c r="A1074" i="2"/>
  <c r="A1073" i="2"/>
  <c r="A1072" i="2"/>
  <c r="A1071" i="2"/>
  <c r="A1070" i="2"/>
  <c r="A1069" i="2"/>
  <c r="A1068" i="2"/>
  <c r="A1067" i="2"/>
  <c r="A1066" i="2"/>
  <c r="A1065" i="2"/>
  <c r="A1064" i="2"/>
  <c r="A1063" i="2"/>
  <c r="A1062" i="2"/>
  <c r="A1061" i="2"/>
  <c r="A1060" i="2"/>
  <c r="A1059" i="2"/>
  <c r="A1058" i="2"/>
  <c r="A1057" i="2"/>
  <c r="A1056" i="2"/>
  <c r="A1055" i="2"/>
  <c r="A1054" i="2"/>
  <c r="A1053" i="2"/>
  <c r="A1052" i="2"/>
  <c r="A1051" i="2"/>
  <c r="A1050" i="2"/>
  <c r="A1049" i="2"/>
  <c r="A1048" i="2"/>
  <c r="A1047" i="2"/>
  <c r="A1046" i="2"/>
  <c r="A1045" i="2"/>
  <c r="A1044" i="2"/>
  <c r="A1043" i="2"/>
  <c r="A1042" i="2"/>
  <c r="A1041" i="2"/>
  <c r="A1040" i="2"/>
  <c r="A1039" i="2"/>
  <c r="A1038" i="2"/>
  <c r="A1037" i="2"/>
  <c r="A1036" i="2"/>
  <c r="A1035" i="2"/>
  <c r="A1034" i="2"/>
  <c r="A1033" i="2"/>
  <c r="A1032" i="2"/>
  <c r="A1031" i="2"/>
  <c r="A1030" i="2"/>
  <c r="A1029" i="2"/>
  <c r="A1028" i="2"/>
  <c r="A1027" i="2"/>
  <c r="A1026" i="2"/>
  <c r="A1025" i="2"/>
  <c r="A1024" i="2"/>
  <c r="A1023" i="2"/>
  <c r="A1022" i="2"/>
  <c r="A1021" i="2"/>
  <c r="A1020" i="2"/>
  <c r="A1019" i="2"/>
  <c r="A1018" i="2"/>
  <c r="A1017" i="2"/>
  <c r="A1016" i="2"/>
  <c r="A1015" i="2"/>
  <c r="A1014" i="2"/>
  <c r="A1013" i="2"/>
  <c r="A1012" i="2"/>
  <c r="A1011" i="2"/>
  <c r="A1010" i="2"/>
  <c r="A1009" i="2"/>
  <c r="A1008" i="2"/>
  <c r="A1007" i="2"/>
  <c r="A1006" i="2"/>
  <c r="A1005" i="2"/>
  <c r="A1004" i="2"/>
  <c r="A1003" i="2"/>
  <c r="A1002" i="2"/>
  <c r="A1001" i="2"/>
  <c r="A1000" i="2"/>
  <c r="A999" i="2"/>
  <c r="A998" i="2"/>
  <c r="A997" i="2"/>
  <c r="A996" i="2"/>
  <c r="A995" i="2"/>
  <c r="A994" i="2"/>
  <c r="A993" i="2"/>
  <c r="A992" i="2"/>
  <c r="A991" i="2"/>
  <c r="A990" i="2"/>
  <c r="A989" i="2"/>
  <c r="A988" i="2"/>
  <c r="A987" i="2"/>
  <c r="A986" i="2"/>
  <c r="A985" i="2"/>
  <c r="A984" i="2"/>
  <c r="A983" i="2"/>
  <c r="A982" i="2"/>
  <c r="A981" i="2"/>
  <c r="A980" i="2"/>
  <c r="A979" i="2"/>
  <c r="A978" i="2"/>
  <c r="A977" i="2"/>
  <c r="A976" i="2"/>
  <c r="A975" i="2"/>
  <c r="A974" i="2"/>
  <c r="A973" i="2"/>
  <c r="A972" i="2"/>
  <c r="A971" i="2"/>
  <c r="A970" i="2"/>
  <c r="A969" i="2"/>
  <c r="A968" i="2"/>
  <c r="A967" i="2"/>
  <c r="A966" i="2"/>
  <c r="A965" i="2"/>
  <c r="A964" i="2"/>
  <c r="A963" i="2"/>
  <c r="A962" i="2"/>
  <c r="A961" i="2"/>
  <c r="A960" i="2"/>
  <c r="A959" i="2"/>
  <c r="A958" i="2"/>
  <c r="A957" i="2"/>
  <c r="A956" i="2"/>
  <c r="A955" i="2"/>
  <c r="A954" i="2"/>
  <c r="A953" i="2"/>
  <c r="A952" i="2"/>
  <c r="A951" i="2"/>
  <c r="A950" i="2"/>
  <c r="A949" i="2"/>
  <c r="A948" i="2"/>
  <c r="A947" i="2"/>
  <c r="A946" i="2"/>
  <c r="A945" i="2"/>
  <c r="A944" i="2"/>
  <c r="A943" i="2"/>
  <c r="A942" i="2"/>
  <c r="A941" i="2"/>
  <c r="A940" i="2"/>
  <c r="A939" i="2"/>
  <c r="A938" i="2"/>
  <c r="A937" i="2"/>
  <c r="A936" i="2"/>
  <c r="A935" i="2"/>
  <c r="A934" i="2"/>
  <c r="A933" i="2"/>
  <c r="A932" i="2"/>
  <c r="A931" i="2"/>
  <c r="A930" i="2"/>
  <c r="A929" i="2"/>
  <c r="A928" i="2"/>
  <c r="A927" i="2"/>
  <c r="A926" i="2"/>
  <c r="A925" i="2"/>
  <c r="A924" i="2"/>
  <c r="A923" i="2"/>
  <c r="A922" i="2"/>
  <c r="A921" i="2"/>
  <c r="A920" i="2"/>
  <c r="A919" i="2"/>
  <c r="A918" i="2"/>
  <c r="A917" i="2"/>
  <c r="A916" i="2"/>
  <c r="A915" i="2"/>
  <c r="A914" i="2"/>
  <c r="A913" i="2"/>
  <c r="A912" i="2"/>
  <c r="A911" i="2"/>
  <c r="A910" i="2"/>
  <c r="A909" i="2"/>
  <c r="A908" i="2"/>
  <c r="A907" i="2"/>
  <c r="A906" i="2"/>
  <c r="A905" i="2"/>
  <c r="A904" i="2"/>
  <c r="A903" i="2"/>
  <c r="A902" i="2"/>
  <c r="A901" i="2"/>
  <c r="A900" i="2"/>
  <c r="A899" i="2"/>
  <c r="A898" i="2"/>
  <c r="A897" i="2"/>
  <c r="A896" i="2"/>
  <c r="A895" i="2"/>
  <c r="A894" i="2"/>
  <c r="A893" i="2"/>
  <c r="A892" i="2"/>
  <c r="A891" i="2"/>
  <c r="A890" i="2"/>
  <c r="A889" i="2"/>
  <c r="A888" i="2"/>
  <c r="A887" i="2"/>
  <c r="A886" i="2"/>
  <c r="A885" i="2"/>
  <c r="A884" i="2"/>
  <c r="A883" i="2"/>
  <c r="A882" i="2"/>
  <c r="A881" i="2"/>
  <c r="A880" i="2"/>
  <c r="A879" i="2"/>
  <c r="A878" i="2"/>
  <c r="A877" i="2"/>
  <c r="A876" i="2"/>
  <c r="A875" i="2"/>
  <c r="A874" i="2"/>
  <c r="A873" i="2"/>
  <c r="A872" i="2"/>
  <c r="A871" i="2"/>
  <c r="A870" i="2"/>
  <c r="A869" i="2"/>
  <c r="A868" i="2"/>
  <c r="A867" i="2"/>
  <c r="A866" i="2"/>
  <c r="A865" i="2"/>
  <c r="A864" i="2"/>
  <c r="A863" i="2"/>
  <c r="A862" i="2"/>
  <c r="A861" i="2"/>
  <c r="A860" i="2"/>
  <c r="A859" i="2"/>
  <c r="A858" i="2"/>
  <c r="A857" i="2"/>
  <c r="A856" i="2"/>
  <c r="A855" i="2"/>
  <c r="A854" i="2"/>
  <c r="A853" i="2"/>
  <c r="A852" i="2"/>
  <c r="A851" i="2"/>
  <c r="A850" i="2"/>
  <c r="A849" i="2"/>
  <c r="A848" i="2"/>
  <c r="A847" i="2"/>
  <c r="A846" i="2"/>
  <c r="A845" i="2"/>
  <c r="A844" i="2"/>
  <c r="A843" i="2"/>
  <c r="A842" i="2"/>
  <c r="A841" i="2"/>
  <c r="A840" i="2"/>
  <c r="A839" i="2"/>
  <c r="A838" i="2"/>
  <c r="A837" i="2"/>
  <c r="A836" i="2"/>
  <c r="A835" i="2"/>
  <c r="A834" i="2"/>
  <c r="A833" i="2"/>
  <c r="A832" i="2"/>
  <c r="A831" i="2"/>
  <c r="A830" i="2"/>
  <c r="A829" i="2"/>
  <c r="A828" i="2"/>
  <c r="A827" i="2"/>
  <c r="A826" i="2"/>
  <c r="A825" i="2"/>
  <c r="A824" i="2"/>
  <c r="A823" i="2"/>
  <c r="A822" i="2"/>
  <c r="A821" i="2"/>
  <c r="A820" i="2"/>
  <c r="A819" i="2"/>
  <c r="A818" i="2"/>
  <c r="A817" i="2"/>
  <c r="A816" i="2"/>
  <c r="A815" i="2"/>
  <c r="A814" i="2"/>
  <c r="A813" i="2"/>
  <c r="A812" i="2"/>
  <c r="A811" i="2"/>
  <c r="A810" i="2"/>
  <c r="A809" i="2"/>
  <c r="A808" i="2"/>
  <c r="A807" i="2"/>
  <c r="A806" i="2"/>
  <c r="A805" i="2"/>
  <c r="A804" i="2"/>
  <c r="A803" i="2"/>
  <c r="A802" i="2"/>
  <c r="A801" i="2"/>
  <c r="A800" i="2"/>
  <c r="A799" i="2"/>
  <c r="A798" i="2"/>
  <c r="A797" i="2"/>
  <c r="A796" i="2"/>
  <c r="A795" i="2"/>
  <c r="A794" i="2"/>
  <c r="A793" i="2"/>
  <c r="A792" i="2"/>
  <c r="A791" i="2"/>
  <c r="A790" i="2"/>
  <c r="A789" i="2"/>
  <c r="A788" i="2"/>
  <c r="A787" i="2"/>
  <c r="A786" i="2"/>
  <c r="A785" i="2"/>
  <c r="A784" i="2"/>
  <c r="A783" i="2"/>
  <c r="A782" i="2"/>
  <c r="A781" i="2"/>
  <c r="A780" i="2"/>
  <c r="A779" i="2"/>
  <c r="A778" i="2"/>
  <c r="A777" i="2"/>
  <c r="A776" i="2"/>
  <c r="A775" i="2"/>
  <c r="A774" i="2"/>
  <c r="A773" i="2"/>
  <c r="A772" i="2"/>
  <c r="A771" i="2"/>
  <c r="A770" i="2"/>
  <c r="A769" i="2"/>
  <c r="A768" i="2"/>
  <c r="A767" i="2"/>
  <c r="A766" i="2"/>
  <c r="A765" i="2"/>
  <c r="A764" i="2"/>
  <c r="A763" i="2"/>
  <c r="A762" i="2"/>
  <c r="A761" i="2"/>
  <c r="A760" i="2"/>
  <c r="A759" i="2"/>
  <c r="A758" i="2"/>
  <c r="A757" i="2"/>
  <c r="A756" i="2"/>
  <c r="A755" i="2"/>
  <c r="A754" i="2"/>
  <c r="A753" i="2"/>
  <c r="A752" i="2"/>
  <c r="A751" i="2"/>
  <c r="A750" i="2"/>
  <c r="A749" i="2"/>
  <c r="A748" i="2"/>
  <c r="A747" i="2"/>
  <c r="A746" i="2"/>
  <c r="A745" i="2"/>
  <c r="A744" i="2"/>
  <c r="A743" i="2"/>
  <c r="A742" i="2"/>
  <c r="A741" i="2"/>
  <c r="A740" i="2"/>
  <c r="A739" i="2"/>
  <c r="A738" i="2"/>
  <c r="A737" i="2"/>
  <c r="A736" i="2"/>
  <c r="A735" i="2"/>
  <c r="A734" i="2"/>
  <c r="A733" i="2"/>
  <c r="A732" i="2"/>
  <c r="A731" i="2"/>
  <c r="A730" i="2"/>
  <c r="A729" i="2"/>
  <c r="A728" i="2"/>
  <c r="A727" i="2"/>
  <c r="A726" i="2"/>
  <c r="A725" i="2"/>
  <c r="A724" i="2"/>
  <c r="A723" i="2"/>
  <c r="A722" i="2"/>
  <c r="A721" i="2"/>
  <c r="A720" i="2"/>
  <c r="A719" i="2"/>
  <c r="A718" i="2"/>
  <c r="A717" i="2"/>
  <c r="A716" i="2"/>
  <c r="A715" i="2"/>
  <c r="A714" i="2"/>
  <c r="A713" i="2"/>
  <c r="A712" i="2"/>
  <c r="A711" i="2"/>
  <c r="A710" i="2"/>
  <c r="A709" i="2"/>
  <c r="A708" i="2"/>
  <c r="A707" i="2"/>
  <c r="A706" i="2"/>
  <c r="A705" i="2"/>
  <c r="A704" i="2"/>
  <c r="A703" i="2"/>
  <c r="A702" i="2"/>
  <c r="A701" i="2"/>
  <c r="A700" i="2"/>
  <c r="A699" i="2"/>
  <c r="A698" i="2"/>
  <c r="A697" i="2"/>
  <c r="A696" i="2"/>
  <c r="A695" i="2"/>
  <c r="A694" i="2"/>
  <c r="A693" i="2"/>
  <c r="A692" i="2"/>
  <c r="A691" i="2"/>
  <c r="A690" i="2"/>
  <c r="A689" i="2"/>
  <c r="A688" i="2"/>
  <c r="A687" i="2"/>
  <c r="A686" i="2"/>
  <c r="A685" i="2"/>
  <c r="A684" i="2"/>
  <c r="A683" i="2"/>
  <c r="A682" i="2"/>
  <c r="A681" i="2"/>
  <c r="A680" i="2"/>
  <c r="A679" i="2"/>
  <c r="A678" i="2"/>
  <c r="A677" i="2"/>
  <c r="A676" i="2"/>
  <c r="A675" i="2"/>
  <c r="A674" i="2"/>
  <c r="A673" i="2"/>
  <c r="A672" i="2"/>
  <c r="A671" i="2"/>
  <c r="A670" i="2"/>
  <c r="A669" i="2"/>
  <c r="A668" i="2"/>
  <c r="A667" i="2"/>
  <c r="A666" i="2"/>
  <c r="A665" i="2"/>
  <c r="A664" i="2"/>
  <c r="A663" i="2"/>
  <c r="A662" i="2"/>
  <c r="A661" i="2"/>
  <c r="A660" i="2"/>
  <c r="A659" i="2"/>
  <c r="A658" i="2"/>
  <c r="A657" i="2"/>
  <c r="A656" i="2"/>
  <c r="A655" i="2"/>
  <c r="A654" i="2"/>
  <c r="A653" i="2"/>
  <c r="A652" i="2"/>
  <c r="A651" i="2"/>
  <c r="A650" i="2"/>
  <c r="A649" i="2"/>
  <c r="A648" i="2"/>
  <c r="A647" i="2"/>
  <c r="A646" i="2"/>
  <c r="A645" i="2"/>
  <c r="A644" i="2"/>
  <c r="A643" i="2"/>
  <c r="A642" i="2"/>
  <c r="A641" i="2"/>
  <c r="A640" i="2"/>
  <c r="A639" i="2"/>
  <c r="A638" i="2"/>
  <c r="A637" i="2"/>
  <c r="A636" i="2"/>
  <c r="A635" i="2"/>
  <c r="A634" i="2"/>
  <c r="A633" i="2"/>
  <c r="A632" i="2"/>
  <c r="A631" i="2"/>
  <c r="A630" i="2"/>
  <c r="A629" i="2"/>
  <c r="A628" i="2"/>
  <c r="A627" i="2"/>
  <c r="A626" i="2"/>
  <c r="A625" i="2"/>
  <c r="A624" i="2"/>
  <c r="A623" i="2"/>
  <c r="A622" i="2"/>
  <c r="A621" i="2"/>
  <c r="A620" i="2"/>
  <c r="A619" i="2"/>
  <c r="A618" i="2"/>
  <c r="A617" i="2"/>
  <c r="A616" i="2"/>
  <c r="A615" i="2"/>
  <c r="A614" i="2"/>
  <c r="A613" i="2"/>
  <c r="A612" i="2"/>
  <c r="A611" i="2"/>
  <c r="A610" i="2"/>
  <c r="A609" i="2"/>
  <c r="A608" i="2"/>
  <c r="A607" i="2"/>
  <c r="A606" i="2"/>
  <c r="A605" i="2"/>
  <c r="A604" i="2"/>
  <c r="A603" i="2"/>
  <c r="A602" i="2"/>
  <c r="A601" i="2"/>
  <c r="A600" i="2"/>
  <c r="A599" i="2"/>
  <c r="A598" i="2"/>
  <c r="A597" i="2"/>
  <c r="A596" i="2"/>
  <c r="A595" i="2"/>
  <c r="A594" i="2"/>
  <c r="A593" i="2"/>
  <c r="A592" i="2"/>
  <c r="A591" i="2"/>
  <c r="A590" i="2"/>
  <c r="A589" i="2"/>
  <c r="A588" i="2"/>
  <c r="A587" i="2"/>
  <c r="A586" i="2"/>
  <c r="A585" i="2"/>
  <c r="A584" i="2"/>
  <c r="A583" i="2"/>
  <c r="A582" i="2"/>
  <c r="A581" i="2"/>
  <c r="A580" i="2"/>
  <c r="A579" i="2"/>
  <c r="A578" i="2"/>
  <c r="A577" i="2"/>
  <c r="A576" i="2"/>
  <c r="A575" i="2"/>
  <c r="A574" i="2"/>
  <c r="A573" i="2"/>
  <c r="A572" i="2"/>
  <c r="A571" i="2"/>
  <c r="A570" i="2"/>
  <c r="A569" i="2"/>
  <c r="A568" i="2"/>
  <c r="A567" i="2"/>
  <c r="A566" i="2"/>
  <c r="A565" i="2"/>
  <c r="A564" i="2"/>
  <c r="A563" i="2"/>
  <c r="A562" i="2"/>
  <c r="A561" i="2"/>
  <c r="A560" i="2"/>
  <c r="A559" i="2"/>
  <c r="A558" i="2"/>
  <c r="A557" i="2"/>
  <c r="A556" i="2"/>
  <c r="A555" i="2"/>
  <c r="A554" i="2"/>
  <c r="A553" i="2"/>
  <c r="A552" i="2"/>
  <c r="A551" i="2"/>
  <c r="A550" i="2"/>
  <c r="A549" i="2"/>
  <c r="A548" i="2"/>
  <c r="A547" i="2"/>
  <c r="A546" i="2"/>
  <c r="A545" i="2"/>
  <c r="A544" i="2"/>
  <c r="A543" i="2"/>
  <c r="A542" i="2"/>
  <c r="A541" i="2"/>
  <c r="A540" i="2"/>
  <c r="A539" i="2"/>
  <c r="A538" i="2"/>
  <c r="A537" i="2"/>
  <c r="A536" i="2"/>
  <c r="A535" i="2"/>
  <c r="A534" i="2"/>
  <c r="A533" i="2"/>
  <c r="A532" i="2"/>
  <c r="A531" i="2"/>
  <c r="A530" i="2"/>
  <c r="A529" i="2"/>
  <c r="A528" i="2"/>
  <c r="A527" i="2"/>
  <c r="A526" i="2"/>
  <c r="A525" i="2"/>
  <c r="A524" i="2"/>
  <c r="A523" i="2"/>
  <c r="A522" i="2"/>
  <c r="A521" i="2"/>
  <c r="A520" i="2"/>
  <c r="A519" i="2"/>
  <c r="A518" i="2"/>
  <c r="A517" i="2"/>
  <c r="A516" i="2"/>
  <c r="A515" i="2"/>
  <c r="A514" i="2"/>
  <c r="A513" i="2"/>
  <c r="A512" i="2"/>
  <c r="A511" i="2"/>
  <c r="A510" i="2"/>
  <c r="A509" i="2"/>
  <c r="A508" i="2"/>
  <c r="A507" i="2"/>
  <c r="A506" i="2"/>
  <c r="A505" i="2"/>
  <c r="A504" i="2"/>
  <c r="A503" i="2"/>
  <c r="A502" i="2"/>
  <c r="A501" i="2"/>
  <c r="A500" i="2"/>
  <c r="A499" i="2"/>
  <c r="A498" i="2"/>
  <c r="A497" i="2"/>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 r="A1" i="2"/>
</calcChain>
</file>

<file path=xl/sharedStrings.xml><?xml version="1.0" encoding="utf-8"?>
<sst xmlns="http://schemas.openxmlformats.org/spreadsheetml/2006/main" count="213" uniqueCount="111">
  <si>
    <t>PROCESO DE SELECCIÓN INCLUYENTE GRUPAL - 2 A 4 OFERENTES</t>
  </si>
  <si>
    <t>CÓDIGO:</t>
  </si>
  <si>
    <t>SEL- IL</t>
  </si>
  <si>
    <t>VERSIÓN:</t>
  </si>
  <si>
    <t>5.0</t>
  </si>
  <si>
    <t>FECHA:</t>
  </si>
  <si>
    <t>2025-0485-CON-23069</t>
  </si>
  <si>
    <t>1. DATOS DE LA EMPRESA</t>
  </si>
  <si>
    <t>Fecha de la Visita:</t>
  </si>
  <si>
    <t>Modalidad:</t>
  </si>
  <si>
    <t>Nombre de la Empresa:</t>
  </si>
  <si>
    <t>Ciudad/Municipio:</t>
  </si>
  <si>
    <t>Dirección de la Empresa:</t>
  </si>
  <si>
    <t>Número de NIT:</t>
  </si>
  <si>
    <t>Correo Electrónico:</t>
  </si>
  <si>
    <t>Teléfonos:</t>
  </si>
  <si>
    <t>Persona que atiende la visita en la empresa:</t>
  </si>
  <si>
    <t>Cargo:</t>
  </si>
  <si>
    <t>Asesor:</t>
  </si>
  <si>
    <t>Sede Compensar:</t>
  </si>
  <si>
    <t>2. DESARROLLO DE LA ACTIVIDAD</t>
  </si>
  <si>
    <t>3. DATOS DEL OFERENTE</t>
  </si>
  <si>
    <t>OFERENTE 1</t>
  </si>
  <si>
    <t>CITADO A ENTREVISTA</t>
  </si>
  <si>
    <t>CERTIFICADO</t>
  </si>
  <si>
    <t>TELÉFONO</t>
  </si>
  <si>
    <t>RESULTADO:</t>
  </si>
  <si>
    <t xml:space="preserve">   No </t>
  </si>
  <si>
    <t>NOMBRE OFERENTE</t>
  </si>
  <si>
    <t>CÉDULA</t>
  </si>
  <si>
    <t xml:space="preserve"> % </t>
  </si>
  <si>
    <t>DISCAPACIDAD</t>
  </si>
  <si>
    <t>CARGO</t>
  </si>
  <si>
    <t xml:space="preserve">CONTACTO DE EMERGENCIA		</t>
  </si>
  <si>
    <t>PARENTESCO</t>
  </si>
  <si>
    <t>FECHA DE NACIMIENTO</t>
  </si>
  <si>
    <t>EDAD</t>
  </si>
  <si>
    <t>¿Pendiente otros oferentes para entrevista?</t>
  </si>
  <si>
    <t>Si</t>
  </si>
  <si>
    <t>Lugar firma de contrato:</t>
  </si>
  <si>
    <t>Fecha firma de contrato:</t>
  </si>
  <si>
    <t>¿Cuenta con pensión?</t>
  </si>
  <si>
    <t>¿Cuál?</t>
  </si>
  <si>
    <t>4. CARACTERIZACIÓN DEL OFERENTE</t>
  </si>
  <si>
    <t>4.1 Condiciones médicas y de salud</t>
  </si>
  <si>
    <t>Item</t>
  </si>
  <si>
    <t>Nivel de apoyo</t>
  </si>
  <si>
    <t>Observaciones</t>
  </si>
  <si>
    <t>¿Toma medicamentos?</t>
  </si>
  <si>
    <t xml:space="preserve">Nota: </t>
  </si>
  <si>
    <t>¿Presenta alguna alergia?</t>
  </si>
  <si>
    <t>¿Tiene algún tipo de restricción médica?</t>
  </si>
  <si>
    <t>¿Asiste a controles médicos con especialista?</t>
  </si>
  <si>
    <t>4.2 Habilidades básicas de la vida diaria</t>
  </si>
  <si>
    <t>¿Se desplaza por la ciudad de manera independiente?</t>
  </si>
  <si>
    <t>¿Se le facilita ubicarse dentro de la ciudad?</t>
  </si>
  <si>
    <t>¿Reconoce y maneja el dinero?</t>
  </si>
  <si>
    <t>Presentación personal</t>
  </si>
  <si>
    <t>¿Conoce y maneja algún apoyo de comunicación escrita?</t>
  </si>
  <si>
    <t>¿Conoce y maneja algún apoyo de comunicación verbal?</t>
  </si>
  <si>
    <t>¿A quien recurre al momento de tomar decisiones?</t>
  </si>
  <si>
    <t>¿ Necesita apoyo en algunas de las siguientes actividades de la vida diaria?</t>
  </si>
  <si>
    <t>Criar y cuidado de niños.</t>
  </si>
  <si>
    <t>Alimentación.</t>
  </si>
  <si>
    <t>Uso de los sistemas de comunicación.</t>
  </si>
  <si>
    <t>Movilidad funcional.</t>
  </si>
  <si>
    <t>Cuidado de las ayudas técnicas personales.</t>
  </si>
  <si>
    <t>Higiene personal y aseo.
(Control de esfínter)</t>
  </si>
  <si>
    <t>¿Necesita apoyo en algunas de las siguientes actividades instrumentales de la vida diaria?</t>
  </si>
  <si>
    <t xml:space="preserve">Criar y cuidado de niños. </t>
  </si>
  <si>
    <t>Manejo de temáticas financieras.</t>
  </si>
  <si>
    <t xml:space="preserve">Cocina y limpieza. </t>
  </si>
  <si>
    <t>Movilidad en la comunidad.</t>
  </si>
  <si>
    <t>Crear y mantener un hogar.</t>
  </si>
  <si>
    <t>Cuidado de la salud y manutención.</t>
  </si>
  <si>
    <t>¿Necesita de algún apoyo o ajuste durante la ejecución de actividades laborales?</t>
  </si>
  <si>
    <t>Actividades de esparcimiento con la familia.</t>
  </si>
  <si>
    <t>Psicológico en salud.</t>
  </si>
  <si>
    <t>Complementarios médicos.</t>
  </si>
  <si>
    <t>Actividades académicas de hijos.</t>
  </si>
  <si>
    <t>Subsidios económicos para estudio de hijos.</t>
  </si>
  <si>
    <t>¿Ha sufrido o vivido discriminación que den paso a manejos clínicos por?</t>
  </si>
  <si>
    <t>Violencia física.</t>
  </si>
  <si>
    <t xml:space="preserve">Acoso laboral. </t>
  </si>
  <si>
    <t xml:space="preserve">Vulneración de derechos. </t>
  </si>
  <si>
    <t xml:space="preserve">Violencia psicosocial. </t>
  </si>
  <si>
    <t>OFERENTE 2</t>
  </si>
  <si>
    <t>CONTACTO DE EMERGENCIA</t>
  </si>
  <si>
    <t xml:space="preserve">5. AJUSTES RAZONABLES Y RECOMENDACIONES </t>
  </si>
  <si>
    <t>NOTA:</t>
  </si>
  <si>
    <t>1. RECA es el Operador de la Agencia de Empleo de Compensar y acompañará los procesos de inclusión laboral en las empresas inscritas, teniendo en cuenta que el alcance del acompañamiento de RECA no implica responsabilidades sobre la contratación y efectos legales que puedan se puedan generar. 
2. Se sugiere que en el contrato de trabajo del futuro vinculado se coloque una nota que especifique que la persona ingresa a trabajar con una discapacidad donde se relacione la discapacidad diagnosticada, y el porcentaje si lo tiene especificado en el certificado de discapacidad.
3. La empresa contratante se responsabiliza de conocer o indagar los antecedentes legales de la persona que pase el proceso de selección.
4. El gestor realizará las sugerencias para hacer accesible las pruebas de selección de personal que tenga la empresa vigentes, sin embargo, aplicar los ajustes y modificaciones es responsabilidad de la empresa.</t>
  </si>
  <si>
    <t>La presente acta contiene la información que se trató durante el servicio y para constancia se envía PDF a los correos de los asistentes e interesados de la empresa como también al Asesor y funcionarios encargados de la Agencia de Empleo y Emprendimiento de Compensar. Cualquier comentario o duda se puede realizar al momento de recibir el acta que se hará llegar en un plazo máximo de 48 horas.</t>
  </si>
  <si>
    <t>6. ASISTENTES</t>
  </si>
  <si>
    <t>Nombre completo:</t>
  </si>
  <si>
    <t>www.recacolombia.org</t>
  </si>
  <si>
    <t>Profesionales de RECA</t>
  </si>
  <si>
    <t>Alejandra Pérez</t>
  </si>
  <si>
    <t>Gestor de inclusión laboral</t>
  </si>
  <si>
    <t>Coordinador de Inclusión Laboral</t>
  </si>
  <si>
    <t>Gestora de Inclusión Laboral</t>
  </si>
  <si>
    <t>Camilo Andres Beltran Prada</t>
  </si>
  <si>
    <t>Gestor de Inclusión Laboral</t>
  </si>
  <si>
    <t>Juan Felipe Moreno</t>
  </si>
  <si>
    <t>Gestor Inclusión Laboral</t>
  </si>
  <si>
    <t>Luz Adriana Viveros Bohamon</t>
  </si>
  <si>
    <t>Profesional de apoyo Inclusión Laboral</t>
  </si>
  <si>
    <t>Maria Camila Alvarado Rojas</t>
  </si>
  <si>
    <t>Mayra Prieto Silva</t>
  </si>
  <si>
    <t xml:space="preserve">Sara Camila Zambrano Duque </t>
  </si>
  <si>
    <t>Líder Empleo Inclusivo</t>
  </si>
  <si>
    <r>
      <t xml:space="preserve">Objetivo: </t>
    </r>
    <r>
      <rPr>
        <sz val="12"/>
        <color theme="1"/>
        <rFont val="Arial"/>
        <family val="2"/>
      </rPr>
      <t>Apoyar al equipo de selección de la empresa (Recursos Humanos) brindando las estrategias necesarias para identificar las competencias laborales requeridas para la vacante, garantizar ajustes razonables y brindar apoyo en el diseño y adaptación de la prueba técnica que se aplique durante el proceso.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</si>
</sst>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15" x14ac:knownFonts="1">
    <font>
      <sz val="10"/>
      <color rgb="FF000000"/>
      <name val="Arial"/>
      <scheme val="minor"/>
    </font>
    <font>
      <sz val="10"/>
      <color theme="1"/>
      <name val="Arial"/>
    </font>
    <font>
      <sz val="11"/>
      <color rgb="FF000000"/>
      <name val="Inconsolata"/>
    </font>
    <font>
      <sz val="10"/>
      <color theme="1"/>
      <name val="Arial"/>
      <scheme val="minor"/>
    </font>
    <font>
      <sz val="10"/>
      <color theme="1"/>
      <name val="Arial"/>
    </font>
    <font>
      <u/>
      <sz val="10"/>
      <color rgb="FF0000FF"/>
      <name val="Arial"/>
    </font>
    <font>
      <b/>
      <sz val="12"/>
      <color theme="1"/>
      <name val="Arial"/>
      <family val="2"/>
    </font>
    <font>
      <sz val="12"/>
      <name val="Arial"/>
      <family val="2"/>
    </font>
    <font>
      <sz val="12"/>
      <color rgb="FF000000"/>
      <name val="Arial"/>
      <family val="2"/>
      <scheme val="minor"/>
    </font>
    <font>
      <sz val="12"/>
      <color theme="1"/>
      <name val="Arial"/>
      <family val="2"/>
    </font>
    <font>
      <sz val="12"/>
      <color theme="1"/>
      <name val="Arial"/>
      <family val="2"/>
      <scheme val="minor"/>
    </font>
    <font>
      <b/>
      <sz val="12"/>
      <color theme="1"/>
      <name val="Arial"/>
      <family val="2"/>
      <scheme val="minor"/>
    </font>
    <font>
      <u/>
      <sz val="12"/>
      <color rgb="FF1155CC"/>
      <name val="Arial"/>
      <family val="2"/>
    </font>
    <font>
      <b/>
      <sz val="10"/>
      <color theme="1"/>
      <name val="Arial"/>
      <family val="2"/>
    </font>
    <font>
      <sz val="10"/>
      <name val="Arial"/>
      <family val="2"/>
    </font>
  </fonts>
  <fills count="5">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rgb="FFEFEFEF"/>
        <bgColor rgb="FFEFEFEF"/>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6">
    <xf numFmtId="0" fontId="0" fillId="0" borderId="0" xfId="0"/>
    <xf numFmtId="0" fontId="2" fillId="2" borderId="0" xfId="0" applyFont="1" applyFill="1" applyAlignment="1">
      <alignment wrapText="1"/>
    </xf>
    <xf numFmtId="0" fontId="3" fillId="0" borderId="0" xfId="0" applyFont="1" applyAlignment="1">
      <alignment wrapText="1"/>
    </xf>
    <xf numFmtId="0" fontId="2" fillId="2" borderId="0" xfId="0" applyFont="1" applyFill="1" applyAlignment="1">
      <alignment horizontal="left" wrapText="1"/>
    </xf>
    <xf numFmtId="0" fontId="1" fillId="3" borderId="4" xfId="0" applyFont="1" applyFill="1" applyBorder="1" applyAlignment="1">
      <alignment horizontal="right"/>
    </xf>
    <xf numFmtId="0" fontId="1" fillId="3" borderId="5" xfId="0" applyFont="1" applyFill="1" applyBorder="1"/>
    <xf numFmtId="0" fontId="4" fillId="0" borderId="8" xfId="0" applyFont="1" applyBorder="1" applyAlignment="1">
      <alignment vertical="center"/>
    </xf>
    <xf numFmtId="0" fontId="4" fillId="0" borderId="9" xfId="0" applyFont="1" applyBorder="1" applyAlignment="1">
      <alignment vertical="center"/>
    </xf>
    <xf numFmtId="0" fontId="3" fillId="0" borderId="0" xfId="0" applyFont="1"/>
    <xf numFmtId="0" fontId="5" fillId="0" borderId="0" xfId="0" applyFont="1" applyAlignment="1">
      <alignment wrapText="1"/>
    </xf>
    <xf numFmtId="0" fontId="6" fillId="4" borderId="9" xfId="0" applyFont="1" applyFill="1" applyBorder="1" applyAlignment="1">
      <alignment horizontal="center" vertical="center" wrapText="1"/>
    </xf>
    <xf numFmtId="0" fontId="9" fillId="0" borderId="4" xfId="0" applyFont="1" applyBorder="1" applyAlignment="1">
      <alignment vertical="center" wrapText="1"/>
    </xf>
    <xf numFmtId="0" fontId="13" fillId="0" borderId="4" xfId="0" applyFont="1" applyBorder="1" applyAlignment="1">
      <alignment horizontal="center" vertical="center" wrapText="1"/>
    </xf>
    <xf numFmtId="0" fontId="13" fillId="2" borderId="5" xfId="0" applyFont="1" applyFill="1" applyBorder="1" applyAlignment="1">
      <alignment horizontal="center" vertical="center" wrapText="1"/>
    </xf>
    <xf numFmtId="0" fontId="8" fillId="0" borderId="0" xfId="0" applyFont="1" applyAlignment="1">
      <alignment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164" fontId="13" fillId="0" borderId="9" xfId="0" applyNumberFormat="1" applyFont="1" applyBorder="1" applyAlignment="1">
      <alignment horizontal="center" vertical="center" wrapText="1"/>
    </xf>
    <xf numFmtId="0" fontId="7" fillId="0" borderId="11" xfId="0" applyFont="1" applyBorder="1" applyAlignment="1">
      <alignment vertical="center" wrapText="1"/>
    </xf>
    <xf numFmtId="0" fontId="7" fillId="0" borderId="9" xfId="0" applyFont="1" applyBorder="1" applyAlignment="1">
      <alignment vertical="center" wrapText="1"/>
    </xf>
    <xf numFmtId="0" fontId="12" fillId="3" borderId="12" xfId="0" applyFont="1" applyFill="1" applyBorder="1" applyAlignment="1">
      <alignment horizontal="center" vertical="center" wrapText="1"/>
    </xf>
    <xf numFmtId="0" fontId="7" fillId="0" borderId="13" xfId="0" applyFont="1" applyBorder="1" applyAlignment="1">
      <alignment vertical="center" wrapText="1"/>
    </xf>
    <xf numFmtId="0" fontId="7" fillId="0" borderId="5" xfId="0" applyFont="1" applyBorder="1" applyAlignment="1">
      <alignment vertical="center" wrapText="1"/>
    </xf>
    <xf numFmtId="0" fontId="6" fillId="3" borderId="12" xfId="0" applyFont="1" applyFill="1" applyBorder="1" applyAlignment="1">
      <alignment horizontal="center" vertical="center" wrapText="1"/>
    </xf>
    <xf numFmtId="0" fontId="10" fillId="2" borderId="1" xfId="0" applyFont="1" applyFill="1" applyBorder="1" applyAlignment="1">
      <alignment horizontal="left" vertical="center" wrapText="1"/>
    </xf>
    <xf numFmtId="0" fontId="7" fillId="0" borderId="2" xfId="0" applyFont="1" applyBorder="1" applyAlignment="1">
      <alignment vertical="center" wrapText="1"/>
    </xf>
    <xf numFmtId="0" fontId="7" fillId="0" borderId="3" xfId="0" applyFont="1" applyBorder="1" applyAlignment="1">
      <alignment vertical="center" wrapText="1"/>
    </xf>
    <xf numFmtId="0" fontId="11" fillId="0" borderId="12" xfId="0" applyFont="1" applyBorder="1" applyAlignment="1">
      <alignment horizontal="left" vertical="center" wrapText="1"/>
    </xf>
    <xf numFmtId="0" fontId="10" fillId="0" borderId="12" xfId="0" applyFont="1" applyBorder="1" applyAlignment="1">
      <alignment horizontal="left" vertical="center" wrapText="1"/>
    </xf>
    <xf numFmtId="0" fontId="9" fillId="0" borderId="6" xfId="0" applyFont="1" applyBorder="1" applyAlignment="1">
      <alignment vertical="center" wrapText="1"/>
    </xf>
    <xf numFmtId="0" fontId="8" fillId="0" borderId="0" xfId="0" applyFont="1" applyAlignment="1">
      <alignment vertical="center" wrapText="1"/>
    </xf>
    <xf numFmtId="0" fontId="7" fillId="0" borderId="7" xfId="0" applyFont="1" applyBorder="1" applyAlignment="1">
      <alignment vertical="center" wrapText="1"/>
    </xf>
    <xf numFmtId="0" fontId="7" fillId="0" borderId="10" xfId="0" applyFont="1" applyBorder="1" applyAlignment="1">
      <alignment vertical="center" wrapText="1"/>
    </xf>
    <xf numFmtId="0" fontId="6" fillId="3" borderId="10" xfId="0" applyFont="1" applyFill="1" applyBorder="1" applyAlignment="1">
      <alignment horizontal="center" vertical="center" wrapText="1"/>
    </xf>
    <xf numFmtId="0" fontId="9" fillId="0" borderId="12" xfId="0" applyFont="1" applyBorder="1" applyAlignment="1">
      <alignment vertical="center" wrapText="1"/>
    </xf>
    <xf numFmtId="0" fontId="9" fillId="0" borderId="1" xfId="0" applyFont="1" applyBorder="1" applyAlignment="1">
      <alignment vertical="center" wrapText="1"/>
    </xf>
    <xf numFmtId="0" fontId="7" fillId="0" borderId="6" xfId="0" applyFont="1" applyBorder="1" applyAlignment="1">
      <alignment vertical="center" wrapText="1"/>
    </xf>
    <xf numFmtId="0" fontId="9" fillId="0" borderId="1" xfId="0" applyFont="1" applyBorder="1" applyAlignment="1">
      <alignment horizontal="center"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4" borderId="0" xfId="0" applyFont="1" applyFill="1" applyAlignment="1">
      <alignment horizontal="center" vertical="center" wrapText="1"/>
    </xf>
    <xf numFmtId="0" fontId="9" fillId="0" borderId="10" xfId="0" applyFont="1" applyBorder="1" applyAlignment="1">
      <alignment horizontal="center" vertical="center" wrapText="1"/>
    </xf>
    <xf numFmtId="0" fontId="6" fillId="0" borderId="12"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1" xfId="0" applyFont="1" applyBorder="1" applyAlignment="1">
      <alignment horizontal="center" vertical="center" wrapText="1"/>
    </xf>
    <xf numFmtId="3" fontId="6" fillId="4" borderId="11" xfId="0" applyNumberFormat="1" applyFont="1" applyFill="1" applyBorder="1" applyAlignment="1">
      <alignment horizontal="center" vertical="center" wrapText="1"/>
    </xf>
    <xf numFmtId="0" fontId="9" fillId="0" borderId="12" xfId="0" applyFont="1" applyBorder="1" applyAlignment="1">
      <alignment horizontal="left" vertical="center" wrapText="1"/>
    </xf>
    <xf numFmtId="0" fontId="9" fillId="2" borderId="10" xfId="0" applyFont="1" applyFill="1" applyBorder="1" applyAlignment="1">
      <alignment horizontal="left" vertical="center" wrapText="1"/>
    </xf>
    <xf numFmtId="0" fontId="6" fillId="0" borderId="1"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9" xfId="0" applyFont="1" applyBorder="1" applyAlignment="1">
      <alignment vertical="center" wrapText="1"/>
    </xf>
    <xf numFmtId="0" fontId="6" fillId="0" borderId="10" xfId="0" applyFont="1" applyBorder="1" applyAlignment="1">
      <alignment vertical="center" wrapText="1"/>
    </xf>
    <xf numFmtId="165" fontId="9" fillId="0" borderId="12" xfId="0" applyNumberFormat="1" applyFont="1" applyBorder="1" applyAlignment="1">
      <alignment horizontal="left" vertical="center" wrapText="1"/>
    </xf>
    <xf numFmtId="0" fontId="7" fillId="0" borderId="13" xfId="0" applyFont="1" applyBorder="1" applyAlignment="1">
      <alignment horizontal="left" vertical="center" wrapText="1"/>
    </xf>
    <xf numFmtId="0" fontId="7" fillId="0" borderId="5" xfId="0" applyFont="1" applyBorder="1" applyAlignment="1">
      <alignment horizontal="left" vertical="center" wrapText="1"/>
    </xf>
    <xf numFmtId="0" fontId="7" fillId="0" borderId="9" xfId="0" applyFont="1" applyBorder="1" applyAlignment="1">
      <alignment horizontal="center" vertical="center" wrapText="1"/>
    </xf>
    <xf numFmtId="0" fontId="7" fillId="0" borderId="11" xfId="0" applyFont="1" applyBorder="1" applyAlignment="1">
      <alignment horizontal="center" vertical="center" wrapText="1"/>
    </xf>
    <xf numFmtId="9" fontId="9" fillId="0" borderId="9" xfId="0" applyNumberFormat="1" applyFont="1" applyBorder="1" applyAlignment="1">
      <alignment horizontal="center" vertical="center" wrapText="1"/>
    </xf>
    <xf numFmtId="0" fontId="7" fillId="0" borderId="13" xfId="0" applyFont="1" applyBorder="1" applyAlignment="1">
      <alignment horizontal="center" vertical="center" wrapText="1"/>
    </xf>
    <xf numFmtId="0" fontId="7" fillId="0" borderId="5" xfId="0" applyFont="1" applyBorder="1" applyAlignment="1">
      <alignment horizontal="center" vertical="center" wrapText="1"/>
    </xf>
    <xf numFmtId="0" fontId="9" fillId="2" borderId="10" xfId="0" applyFont="1" applyFill="1" applyBorder="1" applyAlignment="1">
      <alignment horizontal="center" vertical="center" wrapText="1"/>
    </xf>
    <xf numFmtId="0" fontId="9" fillId="2" borderId="11" xfId="0" applyFont="1" applyFill="1" applyBorder="1" applyAlignment="1">
      <alignment horizontal="center" vertical="center" wrapText="1"/>
    </xf>
    <xf numFmtId="3" fontId="9" fillId="2" borderId="11" xfId="0" applyNumberFormat="1"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6" xfId="0" applyFont="1" applyBorder="1" applyAlignment="1">
      <alignment horizontal="center" vertical="center" wrapText="1"/>
    </xf>
    <xf numFmtId="0" fontId="8" fillId="0" borderId="0" xfId="0" applyFont="1" applyAlignment="1">
      <alignment horizontal="center" vertical="center" wrapText="1"/>
    </xf>
    <xf numFmtId="0" fontId="7" fillId="0" borderId="7" xfId="0" applyFont="1" applyBorder="1" applyAlignment="1">
      <alignment horizontal="center" vertical="center" wrapText="1"/>
    </xf>
    <xf numFmtId="0" fontId="7" fillId="0" borderId="10" xfId="0" applyFont="1" applyBorder="1" applyAlignment="1">
      <alignment horizontal="center" vertical="center" wrapText="1"/>
    </xf>
    <xf numFmtId="0" fontId="9"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9" xfId="0" applyFont="1" applyBorder="1" applyAlignment="1">
      <alignment horizontal="left" vertical="center" wrapText="1"/>
    </xf>
    <xf numFmtId="0" fontId="6" fillId="0" borderId="10" xfId="0" applyFont="1" applyBorder="1" applyAlignment="1">
      <alignment horizontal="left" vertical="center" wrapText="1"/>
    </xf>
    <xf numFmtId="0" fontId="9" fillId="0" borderId="11" xfId="0" applyFont="1" applyBorder="1" applyAlignment="1">
      <alignment horizontal="left" vertical="center" wrapText="1"/>
    </xf>
    <xf numFmtId="0" fontId="9" fillId="0" borderId="6" xfId="0" applyFont="1" applyBorder="1" applyAlignment="1">
      <alignment horizontal="left" vertical="center" wrapText="1"/>
    </xf>
    <xf numFmtId="0" fontId="6" fillId="0" borderId="14" xfId="0" applyFont="1" applyBorder="1" applyAlignment="1">
      <alignment horizontal="left" vertical="center" wrapText="1"/>
    </xf>
    <xf numFmtId="0" fontId="8" fillId="0" borderId="0" xfId="0" applyFont="1" applyAlignment="1">
      <alignment horizontal="left" vertical="center" wrapText="1"/>
    </xf>
    <xf numFmtId="0" fontId="7" fillId="0" borderId="7" xfId="0" applyFont="1" applyBorder="1" applyAlignment="1">
      <alignment horizontal="left" vertical="center" wrapText="1"/>
    </xf>
    <xf numFmtId="0" fontId="7" fillId="0" borderId="10" xfId="0" applyFont="1" applyBorder="1" applyAlignment="1">
      <alignment horizontal="left" vertical="center" wrapText="1"/>
    </xf>
    <xf numFmtId="0" fontId="9" fillId="0" borderId="9" xfId="0" applyFont="1" applyBorder="1" applyAlignment="1">
      <alignment horizontal="left" vertical="center" wrapText="1"/>
    </xf>
    <xf numFmtId="0" fontId="9" fillId="2" borderId="11" xfId="0" applyFont="1" applyFill="1" applyBorder="1" applyAlignment="1">
      <alignment horizontal="left" vertical="center" wrapText="1"/>
    </xf>
    <xf numFmtId="0" fontId="6" fillId="2" borderId="10" xfId="0" applyFont="1" applyFill="1" applyBorder="1" applyAlignment="1">
      <alignment horizontal="left" vertical="center" wrapText="1"/>
    </xf>
    <xf numFmtId="0" fontId="9" fillId="0" borderId="1" xfId="0" applyFont="1" applyBorder="1" applyAlignment="1">
      <alignment horizontal="left" vertical="center" wrapText="1"/>
    </xf>
  </cellXfs>
  <cellStyles count="1">
    <cellStyle name="Normal" xfId="0" builtinId="0"/>
  </cellStyles>
  <dxfs count="1">
    <dxf>
      <fill>
        <patternFill patternType="solid">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57150</xdr:rowOff>
    </xdr:from>
    <xdr:to>
      <xdr:col>5</xdr:col>
      <xdr:colOff>1304924</xdr:colOff>
      <xdr:row>3</xdr:row>
      <xdr:rowOff>144575</xdr:rowOff>
    </xdr:to>
    <xdr:pic>
      <xdr:nvPicPr>
        <xdr:cNvPr id="2" name="Imagen 1">
          <a:extLst>
            <a:ext uri="{FF2B5EF4-FFF2-40B4-BE49-F238E27FC236}">
              <a16:creationId xmlns:a16="http://schemas.microsoft.com/office/drawing/2014/main" id="{4F05A61C-7FFD-68A8-25BB-FF839D1359CD}"/>
            </a:ext>
          </a:extLst>
        </xdr:cNvPr>
        <xdr:cNvPicPr>
          <a:picLocks noChangeAspect="1"/>
        </xdr:cNvPicPr>
      </xdr:nvPicPr>
      <xdr:blipFill>
        <a:blip xmlns:r="http://schemas.openxmlformats.org/officeDocument/2006/relationships" r:embed="rId1"/>
        <a:stretch>
          <a:fillRect/>
        </a:stretch>
      </xdr:blipFill>
      <xdr:spPr>
        <a:xfrm>
          <a:off x="28575" y="57150"/>
          <a:ext cx="3009899" cy="65892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recacolombia.org/"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falabella.com/" TargetMode="External"/><Relationship Id="rId2" Type="http://schemas.openxmlformats.org/officeDocument/2006/relationships/hyperlink" Target="http://falabella.com/" TargetMode="External"/><Relationship Id="rId1" Type="http://schemas.openxmlformats.org/officeDocument/2006/relationships/hyperlink" Target="http://falabell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147"/>
  <sheetViews>
    <sheetView tabSelected="1" topLeftCell="A130" workbookViewId="0">
      <selection activeCell="I152" sqref="I152"/>
    </sheetView>
  </sheetViews>
  <sheetFormatPr baseColWidth="10" defaultColWidth="12.5703125" defaultRowHeight="15.75" customHeight="1" x14ac:dyDescent="0.2"/>
  <cols>
    <col min="1" max="3" width="4.7109375" style="14" customWidth="1"/>
    <col min="4" max="4" width="7.140625" style="14" customWidth="1"/>
    <col min="5" max="5" width="4.7109375" style="14" customWidth="1"/>
    <col min="6" max="6" width="20.5703125" style="14" customWidth="1"/>
    <col min="7" max="7" width="6.85546875" style="14" customWidth="1"/>
    <col min="8" max="8" width="9.28515625" style="14" customWidth="1"/>
    <col min="9" max="9" width="9.5703125" style="14" customWidth="1"/>
    <col min="10" max="11" width="12.42578125" style="14" customWidth="1"/>
    <col min="12" max="12" width="13.5703125" style="14" customWidth="1"/>
    <col min="13" max="13" width="9.5703125" style="14" customWidth="1"/>
    <col min="14" max="14" width="11.85546875" style="14" customWidth="1"/>
    <col min="15" max="15" width="7.42578125" style="14" customWidth="1"/>
    <col min="16" max="16" width="8.140625" style="14" customWidth="1"/>
    <col min="17" max="17" width="11.42578125" style="14" customWidth="1"/>
    <col min="18" max="18" width="4.7109375" style="14" customWidth="1"/>
    <col min="19" max="19" width="5.85546875" style="14" customWidth="1"/>
    <col min="20" max="20" width="11.140625" style="14" customWidth="1"/>
    <col min="21" max="16384" width="12.5703125" style="14"/>
  </cols>
  <sheetData>
    <row r="1" spans="1:21" ht="15" x14ac:dyDescent="0.2">
      <c r="A1" s="51"/>
      <c r="B1" s="25"/>
      <c r="C1" s="25"/>
      <c r="D1" s="25"/>
      <c r="E1" s="25"/>
      <c r="F1" s="25"/>
      <c r="G1" s="51" t="s">
        <v>0</v>
      </c>
      <c r="H1" s="25"/>
      <c r="I1" s="25"/>
      <c r="J1" s="25"/>
      <c r="K1" s="25"/>
      <c r="L1" s="25"/>
      <c r="M1" s="25"/>
      <c r="N1" s="25"/>
      <c r="O1" s="25"/>
      <c r="P1" s="25"/>
      <c r="Q1" s="25"/>
      <c r="R1" s="25"/>
      <c r="S1" s="26"/>
      <c r="T1" s="12" t="s">
        <v>1</v>
      </c>
      <c r="U1" s="13" t="s">
        <v>2</v>
      </c>
    </row>
    <row r="2" spans="1:21" ht="15" x14ac:dyDescent="0.2">
      <c r="A2" s="36"/>
      <c r="B2" s="30"/>
      <c r="C2" s="30"/>
      <c r="D2" s="30"/>
      <c r="E2" s="30"/>
      <c r="F2" s="30"/>
      <c r="G2" s="36"/>
      <c r="H2" s="30"/>
      <c r="I2" s="30"/>
      <c r="J2" s="30"/>
      <c r="K2" s="30"/>
      <c r="L2" s="30"/>
      <c r="M2" s="30"/>
      <c r="N2" s="30"/>
      <c r="O2" s="30"/>
      <c r="P2" s="30"/>
      <c r="Q2" s="30"/>
      <c r="R2" s="30"/>
      <c r="S2" s="31"/>
      <c r="T2" s="15" t="s">
        <v>3</v>
      </c>
      <c r="U2" s="16" t="s">
        <v>4</v>
      </c>
    </row>
    <row r="3" spans="1:21" ht="15" x14ac:dyDescent="0.2">
      <c r="A3" s="36"/>
      <c r="B3" s="30"/>
      <c r="C3" s="30"/>
      <c r="D3" s="30"/>
      <c r="E3" s="30"/>
      <c r="F3" s="30"/>
      <c r="G3" s="36"/>
      <c r="H3" s="30"/>
      <c r="I3" s="30"/>
      <c r="J3" s="30"/>
      <c r="K3" s="30"/>
      <c r="L3" s="30"/>
      <c r="M3" s="30"/>
      <c r="N3" s="30"/>
      <c r="O3" s="30"/>
      <c r="P3" s="30"/>
      <c r="Q3" s="30"/>
      <c r="R3" s="30"/>
      <c r="S3" s="31"/>
      <c r="T3" s="15" t="s">
        <v>5</v>
      </c>
      <c r="U3" s="17">
        <v>44960</v>
      </c>
    </row>
    <row r="4" spans="1:21" ht="15" x14ac:dyDescent="0.2">
      <c r="A4" s="32"/>
      <c r="B4" s="18"/>
      <c r="C4" s="18"/>
      <c r="D4" s="18"/>
      <c r="E4" s="18"/>
      <c r="F4" s="18"/>
      <c r="G4" s="32"/>
      <c r="H4" s="18"/>
      <c r="I4" s="18"/>
      <c r="J4" s="18"/>
      <c r="K4" s="18"/>
      <c r="L4" s="18"/>
      <c r="M4" s="18"/>
      <c r="N4" s="18"/>
      <c r="O4" s="18"/>
      <c r="P4" s="18"/>
      <c r="Q4" s="18"/>
      <c r="R4" s="18"/>
      <c r="S4" s="19"/>
      <c r="T4" s="52" t="s">
        <v>6</v>
      </c>
      <c r="U4" s="53"/>
    </row>
    <row r="5" spans="1:21" ht="40.5" customHeight="1" x14ac:dyDescent="0.2">
      <c r="A5" s="54" t="s">
        <v>110</v>
      </c>
      <c r="B5" s="18"/>
      <c r="C5" s="18"/>
      <c r="D5" s="18"/>
      <c r="E5" s="18"/>
      <c r="F5" s="18"/>
      <c r="G5" s="18"/>
      <c r="H5" s="18"/>
      <c r="I5" s="18"/>
      <c r="J5" s="18"/>
      <c r="K5" s="18"/>
      <c r="L5" s="18"/>
      <c r="M5" s="18"/>
      <c r="N5" s="18"/>
      <c r="O5" s="18"/>
      <c r="P5" s="18"/>
      <c r="Q5" s="18"/>
      <c r="R5" s="18"/>
      <c r="S5" s="18"/>
      <c r="T5" s="18"/>
      <c r="U5" s="19"/>
    </row>
    <row r="6" spans="1:21" ht="24" customHeight="1" x14ac:dyDescent="0.2">
      <c r="A6" s="23" t="s">
        <v>7</v>
      </c>
      <c r="B6" s="21"/>
      <c r="C6" s="21"/>
      <c r="D6" s="21"/>
      <c r="E6" s="21"/>
      <c r="F6" s="21"/>
      <c r="G6" s="21"/>
      <c r="H6" s="21"/>
      <c r="I6" s="21"/>
      <c r="J6" s="21"/>
      <c r="K6" s="21"/>
      <c r="L6" s="21"/>
      <c r="M6" s="21"/>
      <c r="N6" s="21"/>
      <c r="O6" s="21"/>
      <c r="P6" s="21"/>
      <c r="Q6" s="21"/>
      <c r="R6" s="21"/>
      <c r="S6" s="21"/>
      <c r="T6" s="21"/>
      <c r="U6" s="22"/>
    </row>
    <row r="7" spans="1:21" ht="15" x14ac:dyDescent="0.2">
      <c r="A7" s="49" t="s">
        <v>8</v>
      </c>
      <c r="B7" s="21"/>
      <c r="C7" s="21"/>
      <c r="D7" s="21"/>
      <c r="E7" s="22"/>
      <c r="F7" s="55"/>
      <c r="G7" s="56"/>
      <c r="H7" s="56"/>
      <c r="I7" s="56"/>
      <c r="J7" s="56"/>
      <c r="K7" s="57"/>
      <c r="L7" s="49" t="s">
        <v>9</v>
      </c>
      <c r="M7" s="22"/>
      <c r="N7" s="49"/>
      <c r="O7" s="56"/>
      <c r="P7" s="56"/>
      <c r="Q7" s="56"/>
      <c r="R7" s="56"/>
      <c r="S7" s="56"/>
      <c r="T7" s="56"/>
      <c r="U7" s="57"/>
    </row>
    <row r="8" spans="1:21" ht="25.5" customHeight="1" x14ac:dyDescent="0.2">
      <c r="A8" s="49" t="s">
        <v>10</v>
      </c>
      <c r="B8" s="21"/>
      <c r="C8" s="21"/>
      <c r="D8" s="21"/>
      <c r="E8" s="22"/>
      <c r="F8" s="49"/>
      <c r="G8" s="56"/>
      <c r="H8" s="56"/>
      <c r="I8" s="56"/>
      <c r="J8" s="56"/>
      <c r="K8" s="57"/>
      <c r="L8" s="49" t="s">
        <v>11</v>
      </c>
      <c r="M8" s="22"/>
      <c r="N8" s="49"/>
      <c r="O8" s="56"/>
      <c r="P8" s="56"/>
      <c r="Q8" s="56"/>
      <c r="R8" s="56"/>
      <c r="S8" s="56"/>
      <c r="T8" s="56"/>
      <c r="U8" s="57"/>
    </row>
    <row r="9" spans="1:21" ht="15" x14ac:dyDescent="0.2">
      <c r="A9" s="49" t="s">
        <v>12</v>
      </c>
      <c r="B9" s="21"/>
      <c r="C9" s="21"/>
      <c r="D9" s="21"/>
      <c r="E9" s="22"/>
      <c r="F9" s="49"/>
      <c r="G9" s="56"/>
      <c r="H9" s="56"/>
      <c r="I9" s="56"/>
      <c r="J9" s="56"/>
      <c r="K9" s="57"/>
      <c r="L9" s="49" t="s">
        <v>13</v>
      </c>
      <c r="M9" s="22"/>
      <c r="N9" s="49"/>
      <c r="O9" s="56"/>
      <c r="P9" s="56"/>
      <c r="Q9" s="56"/>
      <c r="R9" s="56"/>
      <c r="S9" s="56"/>
      <c r="T9" s="56"/>
      <c r="U9" s="57"/>
    </row>
    <row r="10" spans="1:21" ht="15" x14ac:dyDescent="0.2">
      <c r="A10" s="49" t="s">
        <v>14</v>
      </c>
      <c r="B10" s="21"/>
      <c r="C10" s="21"/>
      <c r="D10" s="21"/>
      <c r="E10" s="22"/>
      <c r="F10" s="49"/>
      <c r="G10" s="56"/>
      <c r="H10" s="56"/>
      <c r="I10" s="56"/>
      <c r="J10" s="56"/>
      <c r="K10" s="57"/>
      <c r="L10" s="49" t="s">
        <v>15</v>
      </c>
      <c r="M10" s="22"/>
      <c r="N10" s="49"/>
      <c r="O10" s="56"/>
      <c r="P10" s="56"/>
      <c r="Q10" s="56"/>
      <c r="R10" s="56"/>
      <c r="S10" s="56"/>
      <c r="T10" s="56"/>
      <c r="U10" s="57"/>
    </row>
    <row r="11" spans="1:21" ht="15" x14ac:dyDescent="0.2">
      <c r="A11" s="49" t="s">
        <v>16</v>
      </c>
      <c r="B11" s="21"/>
      <c r="C11" s="21"/>
      <c r="D11" s="21"/>
      <c r="E11" s="22"/>
      <c r="F11" s="49"/>
      <c r="G11" s="56"/>
      <c r="H11" s="56"/>
      <c r="I11" s="56"/>
      <c r="J11" s="56"/>
      <c r="K11" s="57"/>
      <c r="L11" s="49" t="s">
        <v>17</v>
      </c>
      <c r="M11" s="22"/>
      <c r="N11" s="49"/>
      <c r="O11" s="56"/>
      <c r="P11" s="56"/>
      <c r="Q11" s="56"/>
      <c r="R11" s="56"/>
      <c r="S11" s="56"/>
      <c r="T11" s="56"/>
      <c r="U11" s="57"/>
    </row>
    <row r="12" spans="1:21" ht="15" x14ac:dyDescent="0.2">
      <c r="A12" s="49" t="s">
        <v>18</v>
      </c>
      <c r="B12" s="21"/>
      <c r="C12" s="21"/>
      <c r="D12" s="21"/>
      <c r="E12" s="22"/>
      <c r="F12" s="49"/>
      <c r="G12" s="56"/>
      <c r="H12" s="56"/>
      <c r="I12" s="56"/>
      <c r="J12" s="56"/>
      <c r="K12" s="57"/>
      <c r="L12" s="49" t="s">
        <v>19</v>
      </c>
      <c r="M12" s="22"/>
      <c r="N12" s="49"/>
      <c r="O12" s="56"/>
      <c r="P12" s="56"/>
      <c r="Q12" s="56"/>
      <c r="R12" s="56"/>
      <c r="S12" s="56"/>
      <c r="T12" s="56"/>
      <c r="U12" s="57"/>
    </row>
    <row r="13" spans="1:21" ht="24" customHeight="1" x14ac:dyDescent="0.2">
      <c r="A13" s="23" t="s">
        <v>20</v>
      </c>
      <c r="B13" s="21"/>
      <c r="C13" s="21"/>
      <c r="D13" s="21"/>
      <c r="E13" s="21"/>
      <c r="F13" s="21"/>
      <c r="G13" s="21"/>
      <c r="H13" s="21"/>
      <c r="I13" s="21"/>
      <c r="J13" s="21"/>
      <c r="K13" s="21"/>
      <c r="L13" s="21"/>
      <c r="M13" s="21"/>
      <c r="N13" s="21"/>
      <c r="O13" s="21"/>
      <c r="P13" s="21"/>
      <c r="Q13" s="21"/>
      <c r="R13" s="21"/>
      <c r="S13" s="21"/>
      <c r="T13" s="21"/>
      <c r="U13" s="22"/>
    </row>
    <row r="14" spans="1:21" ht="172.5" customHeight="1" x14ac:dyDescent="0.2">
      <c r="A14" s="50"/>
      <c r="B14" s="18"/>
      <c r="C14" s="18"/>
      <c r="D14" s="18"/>
      <c r="E14" s="18"/>
      <c r="F14" s="18"/>
      <c r="G14" s="18"/>
      <c r="H14" s="18"/>
      <c r="I14" s="18"/>
      <c r="J14" s="18"/>
      <c r="K14" s="18"/>
      <c r="L14" s="18"/>
      <c r="M14" s="18"/>
      <c r="N14" s="18"/>
      <c r="O14" s="18"/>
      <c r="P14" s="18"/>
      <c r="Q14" s="18"/>
      <c r="R14" s="18"/>
      <c r="S14" s="18"/>
      <c r="T14" s="18"/>
      <c r="U14" s="19"/>
    </row>
    <row r="15" spans="1:21" ht="15" x14ac:dyDescent="0.2">
      <c r="A15" s="23" t="s">
        <v>21</v>
      </c>
      <c r="B15" s="21"/>
      <c r="C15" s="21"/>
      <c r="D15" s="21"/>
      <c r="E15" s="21"/>
      <c r="F15" s="21"/>
      <c r="G15" s="21"/>
      <c r="H15" s="21"/>
      <c r="I15" s="21"/>
      <c r="J15" s="21"/>
      <c r="K15" s="21"/>
      <c r="L15" s="21"/>
      <c r="M15" s="21"/>
      <c r="N15" s="21"/>
      <c r="O15" s="21"/>
      <c r="P15" s="21"/>
      <c r="Q15" s="21"/>
      <c r="R15" s="21"/>
      <c r="S15" s="21"/>
      <c r="T15" s="21"/>
      <c r="U15" s="22"/>
    </row>
    <row r="16" spans="1:21" ht="15" x14ac:dyDescent="0.2">
      <c r="A16" s="23" t="s">
        <v>22</v>
      </c>
      <c r="B16" s="21"/>
      <c r="C16" s="21"/>
      <c r="D16" s="21"/>
      <c r="E16" s="21"/>
      <c r="F16" s="21"/>
      <c r="G16" s="21"/>
      <c r="H16" s="21"/>
      <c r="I16" s="21"/>
      <c r="J16" s="21"/>
      <c r="K16" s="21"/>
      <c r="L16" s="21"/>
      <c r="M16" s="21"/>
      <c r="N16" s="21"/>
      <c r="O16" s="21"/>
      <c r="P16" s="21"/>
      <c r="Q16" s="21"/>
      <c r="R16" s="21"/>
      <c r="S16" s="21"/>
      <c r="T16" s="21"/>
      <c r="U16" s="22"/>
    </row>
    <row r="17" spans="1:21" ht="19.5" customHeight="1" x14ac:dyDescent="0.2">
      <c r="A17" s="41" t="s">
        <v>23</v>
      </c>
      <c r="B17" s="18"/>
      <c r="C17" s="18"/>
      <c r="D17" s="18"/>
      <c r="E17" s="18"/>
      <c r="F17" s="18"/>
      <c r="G17" s="18"/>
      <c r="H17" s="18"/>
      <c r="I17" s="18"/>
      <c r="J17" s="19"/>
      <c r="K17" s="42" t="s">
        <v>24</v>
      </c>
      <c r="L17" s="18"/>
      <c r="M17" s="18"/>
      <c r="N17" s="19"/>
      <c r="O17" s="43" t="s">
        <v>25</v>
      </c>
      <c r="P17" s="30"/>
      <c r="Q17" s="31"/>
      <c r="R17" s="43" t="s">
        <v>26</v>
      </c>
      <c r="S17" s="30"/>
      <c r="T17" s="30"/>
      <c r="U17" s="31"/>
    </row>
    <row r="18" spans="1:21" x14ac:dyDescent="0.2">
      <c r="A18" s="41" t="s">
        <v>27</v>
      </c>
      <c r="B18" s="19"/>
      <c r="C18" s="42" t="s">
        <v>28</v>
      </c>
      <c r="D18" s="18"/>
      <c r="E18" s="18"/>
      <c r="F18" s="18"/>
      <c r="G18" s="19"/>
      <c r="H18" s="42" t="s">
        <v>29</v>
      </c>
      <c r="I18" s="18"/>
      <c r="J18" s="19"/>
      <c r="K18" s="10" t="s">
        <v>30</v>
      </c>
      <c r="L18" s="42" t="s">
        <v>31</v>
      </c>
      <c r="M18" s="18"/>
      <c r="N18" s="19"/>
      <c r="O18" s="18"/>
      <c r="P18" s="18"/>
      <c r="Q18" s="19"/>
      <c r="R18" s="18"/>
      <c r="S18" s="18"/>
      <c r="T18" s="18"/>
      <c r="U18" s="19"/>
    </row>
    <row r="19" spans="1:21" ht="24" customHeight="1" x14ac:dyDescent="0.2">
      <c r="A19" s="44">
        <v>1</v>
      </c>
      <c r="B19" s="58"/>
      <c r="C19" s="47"/>
      <c r="D19" s="59"/>
      <c r="E19" s="59"/>
      <c r="F19" s="59"/>
      <c r="G19" s="58"/>
      <c r="H19" s="47"/>
      <c r="I19" s="59"/>
      <c r="J19" s="58"/>
      <c r="K19" s="60"/>
      <c r="L19" s="46"/>
      <c r="M19" s="61"/>
      <c r="N19" s="62"/>
      <c r="O19" s="47"/>
      <c r="P19" s="59"/>
      <c r="Q19" s="58"/>
      <c r="R19" s="46"/>
      <c r="S19" s="61"/>
      <c r="T19" s="61"/>
      <c r="U19" s="62"/>
    </row>
    <row r="20" spans="1:21" ht="35.25" customHeight="1" x14ac:dyDescent="0.2">
      <c r="A20" s="41" t="s">
        <v>32</v>
      </c>
      <c r="B20" s="18"/>
      <c r="C20" s="18"/>
      <c r="D20" s="18"/>
      <c r="E20" s="19"/>
      <c r="F20" s="42" t="s">
        <v>33</v>
      </c>
      <c r="G20" s="18"/>
      <c r="H20" s="19"/>
      <c r="I20" s="42" t="s">
        <v>34</v>
      </c>
      <c r="J20" s="19"/>
      <c r="K20" s="42" t="s">
        <v>25</v>
      </c>
      <c r="L20" s="18"/>
      <c r="M20" s="19"/>
      <c r="N20" s="42" t="s">
        <v>35</v>
      </c>
      <c r="O20" s="18"/>
      <c r="P20" s="18"/>
      <c r="Q20" s="18"/>
      <c r="R20" s="19"/>
      <c r="S20" s="42" t="s">
        <v>36</v>
      </c>
      <c r="T20" s="18"/>
      <c r="U20" s="19"/>
    </row>
    <row r="21" spans="1:21" ht="24" customHeight="1" x14ac:dyDescent="0.2">
      <c r="A21" s="63"/>
      <c r="B21" s="59"/>
      <c r="C21" s="59"/>
      <c r="D21" s="59"/>
      <c r="E21" s="58"/>
      <c r="F21" s="64"/>
      <c r="G21" s="59"/>
      <c r="H21" s="58"/>
      <c r="I21" s="64"/>
      <c r="J21" s="58"/>
      <c r="K21" s="65"/>
      <c r="L21" s="59"/>
      <c r="M21" s="58"/>
      <c r="N21" s="64"/>
      <c r="O21" s="59"/>
      <c r="P21" s="59"/>
      <c r="Q21" s="59"/>
      <c r="R21" s="58"/>
      <c r="S21" s="64"/>
      <c r="T21" s="59"/>
      <c r="U21" s="58"/>
    </row>
    <row r="22" spans="1:21" ht="35.25" customHeight="1" x14ac:dyDescent="0.2">
      <c r="A22" s="41" t="s">
        <v>37</v>
      </c>
      <c r="B22" s="18"/>
      <c r="C22" s="18"/>
      <c r="D22" s="18"/>
      <c r="E22" s="18"/>
      <c r="F22" s="19"/>
      <c r="G22" s="47" t="s">
        <v>38</v>
      </c>
      <c r="H22" s="59"/>
      <c r="I22" s="58"/>
      <c r="J22" s="48" t="s">
        <v>39</v>
      </c>
      <c r="K22" s="19"/>
      <c r="L22" s="47"/>
      <c r="M22" s="59"/>
      <c r="N22" s="58"/>
      <c r="O22" s="42" t="s">
        <v>40</v>
      </c>
      <c r="P22" s="18"/>
      <c r="Q22" s="19"/>
      <c r="R22" s="47"/>
      <c r="S22" s="59"/>
      <c r="T22" s="59"/>
      <c r="U22" s="58"/>
    </row>
    <row r="23" spans="1:21" ht="24" customHeight="1" x14ac:dyDescent="0.2">
      <c r="A23" s="41" t="s">
        <v>41</v>
      </c>
      <c r="B23" s="18"/>
      <c r="C23" s="18"/>
      <c r="D23" s="18"/>
      <c r="E23" s="18"/>
      <c r="F23" s="18"/>
      <c r="G23" s="18"/>
      <c r="H23" s="19"/>
      <c r="I23" s="46"/>
      <c r="J23" s="61"/>
      <c r="K23" s="62"/>
      <c r="L23" s="42" t="s">
        <v>42</v>
      </c>
      <c r="M23" s="18"/>
      <c r="N23" s="18"/>
      <c r="O23" s="18"/>
      <c r="P23" s="18"/>
      <c r="Q23" s="46"/>
      <c r="R23" s="61"/>
      <c r="S23" s="61"/>
      <c r="T23" s="61"/>
      <c r="U23" s="62"/>
    </row>
    <row r="24" spans="1:21" ht="15" x14ac:dyDescent="0.2">
      <c r="A24" s="23" t="s">
        <v>43</v>
      </c>
      <c r="B24" s="21"/>
      <c r="C24" s="21"/>
      <c r="D24" s="21"/>
      <c r="E24" s="21"/>
      <c r="F24" s="21"/>
      <c r="G24" s="21"/>
      <c r="H24" s="21"/>
      <c r="I24" s="21"/>
      <c r="J24" s="21"/>
      <c r="K24" s="21"/>
      <c r="L24" s="21"/>
      <c r="M24" s="21"/>
      <c r="N24" s="21"/>
      <c r="O24" s="21"/>
      <c r="P24" s="21"/>
      <c r="Q24" s="21"/>
      <c r="R24" s="21"/>
      <c r="S24" s="21"/>
      <c r="T24" s="21"/>
      <c r="U24" s="22"/>
    </row>
    <row r="25" spans="1:21" ht="15" x14ac:dyDescent="0.2">
      <c r="A25" s="33" t="s">
        <v>44</v>
      </c>
      <c r="B25" s="18"/>
      <c r="C25" s="18"/>
      <c r="D25" s="18"/>
      <c r="E25" s="18"/>
      <c r="F25" s="18"/>
      <c r="G25" s="18"/>
      <c r="H25" s="18"/>
      <c r="I25" s="18"/>
      <c r="J25" s="18"/>
      <c r="K25" s="18"/>
      <c r="L25" s="18"/>
      <c r="M25" s="18"/>
      <c r="N25" s="18"/>
      <c r="O25" s="18"/>
      <c r="P25" s="18"/>
      <c r="Q25" s="18"/>
      <c r="R25" s="18"/>
      <c r="S25" s="18"/>
      <c r="T25" s="18"/>
      <c r="U25" s="19"/>
    </row>
    <row r="26" spans="1:21" ht="27.75" customHeight="1" x14ac:dyDescent="0.2">
      <c r="A26" s="38" t="s">
        <v>45</v>
      </c>
      <c r="B26" s="18"/>
      <c r="C26" s="18"/>
      <c r="D26" s="18"/>
      <c r="E26" s="18"/>
      <c r="F26" s="18"/>
      <c r="G26" s="18"/>
      <c r="H26" s="19"/>
      <c r="I26" s="39" t="s">
        <v>46</v>
      </c>
      <c r="J26" s="18"/>
      <c r="K26" s="18"/>
      <c r="L26" s="18"/>
      <c r="M26" s="19"/>
      <c r="N26" s="40" t="s">
        <v>47</v>
      </c>
      <c r="O26" s="21"/>
      <c r="P26" s="21"/>
      <c r="Q26" s="21"/>
      <c r="R26" s="21"/>
      <c r="S26" s="21"/>
      <c r="T26" s="21"/>
      <c r="U26" s="22"/>
    </row>
    <row r="27" spans="1:21" ht="30.75" customHeight="1" x14ac:dyDescent="0.2">
      <c r="A27" s="29" t="s">
        <v>48</v>
      </c>
      <c r="B27" s="30"/>
      <c r="C27" s="30"/>
      <c r="D27" s="30"/>
      <c r="E27" s="30"/>
      <c r="F27" s="30"/>
      <c r="G27" s="30"/>
      <c r="H27" s="31"/>
      <c r="I27" s="37"/>
      <c r="J27" s="66"/>
      <c r="K27" s="66"/>
      <c r="L27" s="66"/>
      <c r="M27" s="67"/>
      <c r="N27" s="72"/>
      <c r="O27" s="73"/>
      <c r="P27" s="73"/>
      <c r="Q27" s="73"/>
      <c r="R27" s="73"/>
      <c r="S27" s="73"/>
      <c r="T27" s="73"/>
      <c r="U27" s="74"/>
    </row>
    <row r="28" spans="1:21" ht="27" customHeight="1" x14ac:dyDescent="0.2">
      <c r="A28" s="36"/>
      <c r="B28" s="30"/>
      <c r="C28" s="30"/>
      <c r="D28" s="30"/>
      <c r="E28" s="30"/>
      <c r="F28" s="30"/>
      <c r="G28" s="30"/>
      <c r="H28" s="31"/>
      <c r="I28" s="68"/>
      <c r="J28" s="69"/>
      <c r="K28" s="69"/>
      <c r="L28" s="69"/>
      <c r="M28" s="70"/>
      <c r="N28" s="77"/>
      <c r="O28" s="73"/>
      <c r="P28" s="73"/>
      <c r="Q28" s="73"/>
      <c r="R28" s="73"/>
      <c r="S28" s="73"/>
      <c r="T28" s="73"/>
      <c r="U28" s="74"/>
    </row>
    <row r="29" spans="1:21" x14ac:dyDescent="0.2">
      <c r="A29" s="32"/>
      <c r="B29" s="18"/>
      <c r="C29" s="18"/>
      <c r="D29" s="18"/>
      <c r="E29" s="18"/>
      <c r="F29" s="18"/>
      <c r="G29" s="18"/>
      <c r="H29" s="19"/>
      <c r="I29" s="71"/>
      <c r="J29" s="59"/>
      <c r="K29" s="59"/>
      <c r="L29" s="59"/>
      <c r="M29" s="59"/>
      <c r="N29" s="78" t="s">
        <v>49</v>
      </c>
      <c r="O29" s="76"/>
      <c r="P29" s="73"/>
      <c r="Q29" s="73"/>
      <c r="R29" s="73"/>
      <c r="S29" s="73"/>
      <c r="T29" s="73"/>
      <c r="U29" s="74"/>
    </row>
    <row r="30" spans="1:21" ht="26.25" customHeight="1" x14ac:dyDescent="0.2">
      <c r="A30" s="29" t="s">
        <v>50</v>
      </c>
      <c r="B30" s="30"/>
      <c r="C30" s="30"/>
      <c r="D30" s="30"/>
      <c r="E30" s="30"/>
      <c r="F30" s="30"/>
      <c r="G30" s="30"/>
      <c r="H30" s="31"/>
      <c r="I30" s="37"/>
      <c r="J30" s="66"/>
      <c r="K30" s="66"/>
      <c r="L30" s="66"/>
      <c r="M30" s="67"/>
      <c r="N30" s="77"/>
      <c r="O30" s="73"/>
      <c r="P30" s="73"/>
      <c r="Q30" s="73"/>
      <c r="R30" s="73"/>
      <c r="S30" s="73"/>
      <c r="T30" s="73"/>
      <c r="U30" s="74"/>
    </row>
    <row r="31" spans="1:21" x14ac:dyDescent="0.2">
      <c r="A31" s="32"/>
      <c r="B31" s="18"/>
      <c r="C31" s="18"/>
      <c r="D31" s="18"/>
      <c r="E31" s="18"/>
      <c r="F31" s="18"/>
      <c r="G31" s="18"/>
      <c r="H31" s="19"/>
      <c r="I31" s="71"/>
      <c r="J31" s="59"/>
      <c r="K31" s="59"/>
      <c r="L31" s="59"/>
      <c r="M31" s="59"/>
      <c r="N31" s="78" t="s">
        <v>49</v>
      </c>
      <c r="O31" s="76"/>
      <c r="P31" s="73"/>
      <c r="Q31" s="73"/>
      <c r="R31" s="73"/>
      <c r="S31" s="73"/>
      <c r="T31" s="73"/>
      <c r="U31" s="74"/>
    </row>
    <row r="32" spans="1:21" ht="24.75" customHeight="1" x14ac:dyDescent="0.2">
      <c r="A32" s="29" t="s">
        <v>51</v>
      </c>
      <c r="B32" s="30"/>
      <c r="C32" s="30"/>
      <c r="D32" s="30"/>
      <c r="E32" s="30"/>
      <c r="F32" s="30"/>
      <c r="G32" s="30"/>
      <c r="H32" s="31"/>
      <c r="I32" s="37"/>
      <c r="J32" s="66"/>
      <c r="K32" s="66"/>
      <c r="L32" s="66"/>
      <c r="M32" s="67"/>
      <c r="N32" s="77"/>
      <c r="O32" s="73"/>
      <c r="P32" s="73"/>
      <c r="Q32" s="73"/>
      <c r="R32" s="73"/>
      <c r="S32" s="73"/>
      <c r="T32" s="73"/>
      <c r="U32" s="74"/>
    </row>
    <row r="33" spans="1:21" x14ac:dyDescent="0.2">
      <c r="A33" s="32"/>
      <c r="B33" s="18"/>
      <c r="C33" s="18"/>
      <c r="D33" s="18"/>
      <c r="E33" s="18"/>
      <c r="F33" s="18"/>
      <c r="G33" s="18"/>
      <c r="H33" s="19"/>
      <c r="I33" s="71"/>
      <c r="J33" s="59"/>
      <c r="K33" s="59"/>
      <c r="L33" s="59"/>
      <c r="M33" s="59"/>
      <c r="N33" s="78" t="s">
        <v>49</v>
      </c>
      <c r="O33" s="76"/>
      <c r="P33" s="73"/>
      <c r="Q33" s="73"/>
      <c r="R33" s="73"/>
      <c r="S33" s="73"/>
      <c r="T33" s="73"/>
      <c r="U33" s="74"/>
    </row>
    <row r="34" spans="1:21" ht="20.25" customHeight="1" x14ac:dyDescent="0.2">
      <c r="A34" s="29" t="s">
        <v>52</v>
      </c>
      <c r="B34" s="30"/>
      <c r="C34" s="30"/>
      <c r="D34" s="30"/>
      <c r="E34" s="30"/>
      <c r="F34" s="30"/>
      <c r="G34" s="30"/>
      <c r="H34" s="31"/>
      <c r="I34" s="37"/>
      <c r="J34" s="66"/>
      <c r="K34" s="66"/>
      <c r="L34" s="66"/>
      <c r="M34" s="67"/>
      <c r="N34" s="72"/>
      <c r="O34" s="73"/>
      <c r="P34" s="73"/>
      <c r="Q34" s="73"/>
      <c r="R34" s="73"/>
      <c r="S34" s="73"/>
      <c r="T34" s="73"/>
      <c r="U34" s="74"/>
    </row>
    <row r="35" spans="1:21" ht="21.75" customHeight="1" x14ac:dyDescent="0.2">
      <c r="A35" s="36"/>
      <c r="B35" s="30"/>
      <c r="C35" s="30"/>
      <c r="D35" s="30"/>
      <c r="E35" s="30"/>
      <c r="F35" s="30"/>
      <c r="G35" s="30"/>
      <c r="H35" s="31"/>
      <c r="I35" s="68"/>
      <c r="J35" s="69"/>
      <c r="K35" s="69"/>
      <c r="L35" s="69"/>
      <c r="M35" s="70"/>
      <c r="N35" s="77"/>
      <c r="O35" s="73"/>
      <c r="P35" s="73"/>
      <c r="Q35" s="73"/>
      <c r="R35" s="73"/>
      <c r="S35" s="73"/>
      <c r="T35" s="73"/>
      <c r="U35" s="74"/>
    </row>
    <row r="36" spans="1:21" x14ac:dyDescent="0.2">
      <c r="A36" s="32"/>
      <c r="B36" s="18"/>
      <c r="C36" s="18"/>
      <c r="D36" s="18"/>
      <c r="E36" s="18"/>
      <c r="F36" s="18"/>
      <c r="G36" s="18"/>
      <c r="H36" s="19"/>
      <c r="I36" s="71"/>
      <c r="J36" s="59"/>
      <c r="K36" s="59"/>
      <c r="L36" s="59"/>
      <c r="M36" s="59"/>
      <c r="N36" s="78" t="s">
        <v>49</v>
      </c>
      <c r="O36" s="76"/>
      <c r="P36" s="73"/>
      <c r="Q36" s="73"/>
      <c r="R36" s="73"/>
      <c r="S36" s="73"/>
      <c r="T36" s="73"/>
      <c r="U36" s="74"/>
    </row>
    <row r="37" spans="1:21" ht="24" customHeight="1" x14ac:dyDescent="0.2">
      <c r="A37" s="33" t="s">
        <v>53</v>
      </c>
      <c r="B37" s="18"/>
      <c r="C37" s="18"/>
      <c r="D37" s="18"/>
      <c r="E37" s="18"/>
      <c r="F37" s="18"/>
      <c r="G37" s="18"/>
      <c r="H37" s="18"/>
      <c r="I37" s="18"/>
      <c r="J37" s="18"/>
      <c r="K37" s="18"/>
      <c r="L37" s="18"/>
      <c r="M37" s="18"/>
      <c r="N37" s="18"/>
      <c r="O37" s="18"/>
      <c r="P37" s="18"/>
      <c r="Q37" s="18"/>
      <c r="R37" s="18"/>
      <c r="S37" s="18"/>
      <c r="T37" s="18"/>
      <c r="U37" s="19"/>
    </row>
    <row r="38" spans="1:21" ht="15" x14ac:dyDescent="0.2">
      <c r="A38" s="40" t="s">
        <v>45</v>
      </c>
      <c r="B38" s="21"/>
      <c r="C38" s="21"/>
      <c r="D38" s="21"/>
      <c r="E38" s="21"/>
      <c r="F38" s="21"/>
      <c r="G38" s="21"/>
      <c r="H38" s="22"/>
      <c r="I38" s="40" t="s">
        <v>46</v>
      </c>
      <c r="J38" s="21"/>
      <c r="K38" s="21"/>
      <c r="L38" s="21"/>
      <c r="M38" s="21"/>
      <c r="N38" s="45" t="s">
        <v>47</v>
      </c>
      <c r="O38" s="21"/>
      <c r="P38" s="21"/>
      <c r="Q38" s="21"/>
      <c r="R38" s="21"/>
      <c r="S38" s="21"/>
      <c r="T38" s="21"/>
      <c r="U38" s="22"/>
    </row>
    <row r="39" spans="1:21" ht="15" x14ac:dyDescent="0.2">
      <c r="A39" s="35" t="s">
        <v>54</v>
      </c>
      <c r="B39" s="25"/>
      <c r="C39" s="25"/>
      <c r="D39" s="25"/>
      <c r="E39" s="25"/>
      <c r="F39" s="25"/>
      <c r="G39" s="25"/>
      <c r="H39" s="26"/>
      <c r="I39" s="35"/>
      <c r="J39" s="25"/>
      <c r="K39" s="25"/>
      <c r="L39" s="25"/>
      <c r="M39" s="26"/>
      <c r="N39" s="72"/>
      <c r="O39" s="73"/>
      <c r="P39" s="73"/>
      <c r="Q39" s="73"/>
      <c r="R39" s="73"/>
      <c r="S39" s="73"/>
      <c r="T39" s="73"/>
      <c r="U39" s="74"/>
    </row>
    <row r="40" spans="1:21" ht="15" x14ac:dyDescent="0.2">
      <c r="A40" s="36"/>
      <c r="B40" s="30"/>
      <c r="C40" s="30"/>
      <c r="D40" s="30"/>
      <c r="E40" s="30"/>
      <c r="F40" s="30"/>
      <c r="G40" s="30"/>
      <c r="H40" s="31"/>
      <c r="I40" s="36"/>
      <c r="J40" s="30"/>
      <c r="K40" s="30"/>
      <c r="L40" s="30"/>
      <c r="M40" s="31"/>
      <c r="N40" s="72"/>
      <c r="O40" s="73"/>
      <c r="P40" s="73"/>
      <c r="Q40" s="73"/>
      <c r="R40" s="73"/>
      <c r="S40" s="73"/>
      <c r="T40" s="73"/>
      <c r="U40" s="74"/>
    </row>
    <row r="41" spans="1:21" x14ac:dyDescent="0.2">
      <c r="A41" s="32"/>
      <c r="B41" s="18"/>
      <c r="C41" s="18"/>
      <c r="D41" s="18"/>
      <c r="E41" s="18"/>
      <c r="F41" s="18"/>
      <c r="G41" s="18"/>
      <c r="H41" s="19"/>
      <c r="I41" s="32"/>
      <c r="J41" s="18"/>
      <c r="K41" s="18"/>
      <c r="L41" s="18"/>
      <c r="M41" s="19"/>
      <c r="N41" s="75" t="s">
        <v>49</v>
      </c>
      <c r="O41" s="76"/>
      <c r="P41" s="73"/>
      <c r="Q41" s="73"/>
      <c r="R41" s="73"/>
      <c r="S41" s="73"/>
      <c r="T41" s="73"/>
      <c r="U41" s="74"/>
    </row>
    <row r="42" spans="1:21" ht="15" x14ac:dyDescent="0.2">
      <c r="A42" s="35" t="s">
        <v>55</v>
      </c>
      <c r="B42" s="25"/>
      <c r="C42" s="25"/>
      <c r="D42" s="25"/>
      <c r="E42" s="25"/>
      <c r="F42" s="25"/>
      <c r="G42" s="25"/>
      <c r="H42" s="26"/>
      <c r="I42" s="35"/>
      <c r="J42" s="25"/>
      <c r="K42" s="25"/>
      <c r="L42" s="25"/>
      <c r="M42" s="26"/>
      <c r="N42" s="72"/>
      <c r="O42" s="73"/>
      <c r="P42" s="73"/>
      <c r="Q42" s="73"/>
      <c r="R42" s="73"/>
      <c r="S42" s="73"/>
      <c r="T42" s="73"/>
      <c r="U42" s="74"/>
    </row>
    <row r="43" spans="1:21" ht="15" x14ac:dyDescent="0.2">
      <c r="A43" s="36"/>
      <c r="B43" s="30"/>
      <c r="C43" s="30"/>
      <c r="D43" s="30"/>
      <c r="E43" s="30"/>
      <c r="F43" s="30"/>
      <c r="G43" s="30"/>
      <c r="H43" s="31"/>
      <c r="I43" s="36"/>
      <c r="J43" s="30"/>
      <c r="K43" s="30"/>
      <c r="L43" s="30"/>
      <c r="M43" s="31"/>
      <c r="N43" s="72"/>
      <c r="O43" s="73"/>
      <c r="P43" s="73"/>
      <c r="Q43" s="73"/>
      <c r="R43" s="73"/>
      <c r="S43" s="73"/>
      <c r="T43" s="73"/>
      <c r="U43" s="74"/>
    </row>
    <row r="44" spans="1:21" x14ac:dyDescent="0.2">
      <c r="A44" s="32"/>
      <c r="B44" s="18"/>
      <c r="C44" s="18"/>
      <c r="D44" s="18"/>
      <c r="E44" s="18"/>
      <c r="F44" s="18"/>
      <c r="G44" s="18"/>
      <c r="H44" s="19"/>
      <c r="I44" s="32"/>
      <c r="J44" s="18"/>
      <c r="K44" s="18"/>
      <c r="L44" s="18"/>
      <c r="M44" s="19"/>
      <c r="N44" s="75" t="s">
        <v>49</v>
      </c>
      <c r="O44" s="76"/>
      <c r="P44" s="73"/>
      <c r="Q44" s="73"/>
      <c r="R44" s="73"/>
      <c r="S44" s="73"/>
      <c r="T44" s="73"/>
      <c r="U44" s="74"/>
    </row>
    <row r="45" spans="1:21" ht="15" x14ac:dyDescent="0.2">
      <c r="A45" s="35" t="s">
        <v>56</v>
      </c>
      <c r="B45" s="25"/>
      <c r="C45" s="25"/>
      <c r="D45" s="25"/>
      <c r="E45" s="25"/>
      <c r="F45" s="25"/>
      <c r="G45" s="25"/>
      <c r="H45" s="26"/>
      <c r="I45" s="35"/>
      <c r="J45" s="25"/>
      <c r="K45" s="25"/>
      <c r="L45" s="25"/>
      <c r="M45" s="26"/>
      <c r="N45" s="72"/>
      <c r="O45" s="73"/>
      <c r="P45" s="73"/>
      <c r="Q45" s="73"/>
      <c r="R45" s="73"/>
      <c r="S45" s="73"/>
      <c r="T45" s="73"/>
      <c r="U45" s="74"/>
    </row>
    <row r="46" spans="1:21" ht="15" x14ac:dyDescent="0.2">
      <c r="A46" s="36"/>
      <c r="B46" s="30"/>
      <c r="C46" s="30"/>
      <c r="D46" s="30"/>
      <c r="E46" s="30"/>
      <c r="F46" s="30"/>
      <c r="G46" s="30"/>
      <c r="H46" s="31"/>
      <c r="I46" s="36"/>
      <c r="J46" s="30"/>
      <c r="K46" s="30"/>
      <c r="L46" s="30"/>
      <c r="M46" s="31"/>
      <c r="N46" s="72"/>
      <c r="O46" s="73"/>
      <c r="P46" s="73"/>
      <c r="Q46" s="73"/>
      <c r="R46" s="73"/>
      <c r="S46" s="73"/>
      <c r="T46" s="73"/>
      <c r="U46" s="74"/>
    </row>
    <row r="47" spans="1:21" ht="15" x14ac:dyDescent="0.2">
      <c r="A47" s="36"/>
      <c r="B47" s="30"/>
      <c r="C47" s="30"/>
      <c r="D47" s="30"/>
      <c r="E47" s="30"/>
      <c r="F47" s="30"/>
      <c r="G47" s="30"/>
      <c r="H47" s="31"/>
      <c r="I47" s="36"/>
      <c r="J47" s="30"/>
      <c r="K47" s="30"/>
      <c r="L47" s="30"/>
      <c r="M47" s="31"/>
      <c r="N47" s="72"/>
      <c r="O47" s="73"/>
      <c r="P47" s="73"/>
      <c r="Q47" s="73"/>
      <c r="R47" s="73"/>
      <c r="S47" s="73"/>
      <c r="T47" s="73"/>
      <c r="U47" s="74"/>
    </row>
    <row r="48" spans="1:21" x14ac:dyDescent="0.2">
      <c r="A48" s="36"/>
      <c r="B48" s="30"/>
      <c r="C48" s="30"/>
      <c r="D48" s="30"/>
      <c r="E48" s="30"/>
      <c r="F48" s="30"/>
      <c r="G48" s="30"/>
      <c r="H48" s="31"/>
      <c r="I48" s="32"/>
      <c r="J48" s="18"/>
      <c r="K48" s="18"/>
      <c r="L48" s="18"/>
      <c r="M48" s="19"/>
      <c r="N48" s="75" t="s">
        <v>49</v>
      </c>
      <c r="O48" s="76"/>
      <c r="P48" s="73"/>
      <c r="Q48" s="73"/>
      <c r="R48" s="73"/>
      <c r="S48" s="73"/>
      <c r="T48" s="73"/>
      <c r="U48" s="74"/>
    </row>
    <row r="49" spans="1:21" ht="15" x14ac:dyDescent="0.2">
      <c r="A49" s="35" t="s">
        <v>57</v>
      </c>
      <c r="B49" s="25"/>
      <c r="C49" s="25"/>
      <c r="D49" s="25"/>
      <c r="E49" s="25"/>
      <c r="F49" s="25"/>
      <c r="G49" s="25"/>
      <c r="H49" s="26"/>
      <c r="I49" s="35"/>
      <c r="J49" s="25"/>
      <c r="K49" s="25"/>
      <c r="L49" s="25"/>
      <c r="M49" s="26"/>
      <c r="N49" s="49"/>
      <c r="O49" s="56"/>
      <c r="P49" s="56"/>
      <c r="Q49" s="56"/>
      <c r="R49" s="56"/>
      <c r="S49" s="56"/>
      <c r="T49" s="56"/>
      <c r="U49" s="57"/>
    </row>
    <row r="50" spans="1:21" x14ac:dyDescent="0.2">
      <c r="A50" s="32"/>
      <c r="B50" s="18"/>
      <c r="C50" s="18"/>
      <c r="D50" s="18"/>
      <c r="E50" s="18"/>
      <c r="F50" s="18"/>
      <c r="G50" s="18"/>
      <c r="H50" s="19"/>
      <c r="I50" s="32"/>
      <c r="J50" s="18"/>
      <c r="K50" s="18"/>
      <c r="L50" s="18"/>
      <c r="M50" s="19"/>
      <c r="N50" s="75" t="s">
        <v>49</v>
      </c>
      <c r="O50" s="76"/>
      <c r="P50" s="73"/>
      <c r="Q50" s="73"/>
      <c r="R50" s="73"/>
      <c r="S50" s="73"/>
      <c r="T50" s="73"/>
      <c r="U50" s="74"/>
    </row>
    <row r="51" spans="1:21" ht="15" x14ac:dyDescent="0.2">
      <c r="A51" s="35" t="s">
        <v>58</v>
      </c>
      <c r="B51" s="25"/>
      <c r="C51" s="25"/>
      <c r="D51" s="25"/>
      <c r="E51" s="25"/>
      <c r="F51" s="25"/>
      <c r="G51" s="25"/>
      <c r="H51" s="26"/>
      <c r="I51" s="35"/>
      <c r="J51" s="25"/>
      <c r="K51" s="25"/>
      <c r="L51" s="25"/>
      <c r="M51" s="26"/>
      <c r="N51" s="77"/>
      <c r="O51" s="79"/>
      <c r="P51" s="79"/>
      <c r="Q51" s="79"/>
      <c r="R51" s="79"/>
      <c r="S51" s="79"/>
      <c r="T51" s="79"/>
      <c r="U51" s="80"/>
    </row>
    <row r="52" spans="1:21" ht="23.25" customHeight="1" x14ac:dyDescent="0.2">
      <c r="A52" s="32"/>
      <c r="B52" s="18"/>
      <c r="C52" s="18"/>
      <c r="D52" s="18"/>
      <c r="E52" s="18"/>
      <c r="F52" s="18"/>
      <c r="G52" s="18"/>
      <c r="H52" s="19"/>
      <c r="I52" s="32"/>
      <c r="J52" s="18"/>
      <c r="K52" s="18"/>
      <c r="L52" s="18"/>
      <c r="M52" s="19"/>
      <c r="N52" s="81"/>
      <c r="O52" s="73"/>
      <c r="P52" s="73"/>
      <c r="Q52" s="73"/>
      <c r="R52" s="73"/>
      <c r="S52" s="73"/>
      <c r="T52" s="73"/>
      <c r="U52" s="74"/>
    </row>
    <row r="53" spans="1:21" ht="15" x14ac:dyDescent="0.2">
      <c r="A53" s="35" t="s">
        <v>59</v>
      </c>
      <c r="B53" s="25"/>
      <c r="C53" s="25"/>
      <c r="D53" s="25"/>
      <c r="E53" s="25"/>
      <c r="F53" s="25"/>
      <c r="G53" s="25"/>
      <c r="H53" s="26"/>
      <c r="I53" s="35"/>
      <c r="J53" s="25"/>
      <c r="K53" s="25"/>
      <c r="L53" s="25"/>
      <c r="M53" s="26"/>
      <c r="N53" s="49"/>
      <c r="O53" s="56"/>
      <c r="P53" s="56"/>
      <c r="Q53" s="56"/>
      <c r="R53" s="56"/>
      <c r="S53" s="56"/>
      <c r="T53" s="56"/>
      <c r="U53" s="57"/>
    </row>
    <row r="54" spans="1:21" x14ac:dyDescent="0.2">
      <c r="A54" s="32"/>
      <c r="B54" s="18"/>
      <c r="C54" s="18"/>
      <c r="D54" s="18"/>
      <c r="E54" s="18"/>
      <c r="F54" s="18"/>
      <c r="G54" s="18"/>
      <c r="H54" s="19"/>
      <c r="I54" s="32"/>
      <c r="J54" s="18"/>
      <c r="K54" s="18"/>
      <c r="L54" s="18"/>
      <c r="M54" s="19"/>
      <c r="N54" s="75" t="s">
        <v>49</v>
      </c>
      <c r="O54" s="76"/>
      <c r="P54" s="73"/>
      <c r="Q54" s="73"/>
      <c r="R54" s="73"/>
      <c r="S54" s="73"/>
      <c r="T54" s="73"/>
      <c r="U54" s="74"/>
    </row>
    <row r="55" spans="1:21" ht="15" x14ac:dyDescent="0.2">
      <c r="A55" s="35" t="s">
        <v>60</v>
      </c>
      <c r="B55" s="25"/>
      <c r="C55" s="25"/>
      <c r="D55" s="25"/>
      <c r="E55" s="25"/>
      <c r="F55" s="25"/>
      <c r="G55" s="25"/>
      <c r="H55" s="26"/>
      <c r="I55" s="35"/>
      <c r="J55" s="25"/>
      <c r="K55" s="25"/>
      <c r="L55" s="25"/>
      <c r="M55" s="26"/>
      <c r="N55" s="72"/>
      <c r="O55" s="73"/>
      <c r="P55" s="73"/>
      <c r="Q55" s="73"/>
      <c r="R55" s="73"/>
      <c r="S55" s="73"/>
      <c r="T55" s="73"/>
      <c r="U55" s="74"/>
    </row>
    <row r="56" spans="1:21" x14ac:dyDescent="0.2">
      <c r="A56" s="32"/>
      <c r="B56" s="18"/>
      <c r="C56" s="18"/>
      <c r="D56" s="18"/>
      <c r="E56" s="18"/>
      <c r="F56" s="18"/>
      <c r="G56" s="18"/>
      <c r="H56" s="19"/>
      <c r="I56" s="32"/>
      <c r="J56" s="18"/>
      <c r="K56" s="18"/>
      <c r="L56" s="18"/>
      <c r="M56" s="19"/>
      <c r="N56" s="75" t="s">
        <v>49</v>
      </c>
      <c r="O56" s="76"/>
      <c r="P56" s="73"/>
      <c r="Q56" s="73"/>
      <c r="R56" s="73"/>
      <c r="S56" s="73"/>
      <c r="T56" s="73"/>
      <c r="U56" s="74"/>
    </row>
    <row r="57" spans="1:21" ht="15" x14ac:dyDescent="0.2">
      <c r="A57" s="35" t="s">
        <v>61</v>
      </c>
      <c r="B57" s="25"/>
      <c r="C57" s="25"/>
      <c r="D57" s="25"/>
      <c r="E57" s="25"/>
      <c r="F57" s="25"/>
      <c r="G57" s="25"/>
      <c r="H57" s="26"/>
      <c r="I57" s="35"/>
      <c r="J57" s="25"/>
      <c r="K57" s="25"/>
      <c r="L57" s="25"/>
      <c r="M57" s="26"/>
      <c r="N57" s="49"/>
      <c r="O57" s="56"/>
      <c r="P57" s="56"/>
      <c r="Q57" s="56"/>
      <c r="R57" s="56"/>
      <c r="S57" s="56"/>
      <c r="T57" s="56"/>
      <c r="U57" s="57"/>
    </row>
    <row r="58" spans="1:21" ht="15" x14ac:dyDescent="0.2">
      <c r="A58" s="36"/>
      <c r="B58" s="30"/>
      <c r="C58" s="30"/>
      <c r="D58" s="30"/>
      <c r="E58" s="30"/>
      <c r="F58" s="30"/>
      <c r="G58" s="30"/>
      <c r="H58" s="31"/>
      <c r="I58" s="36"/>
      <c r="J58" s="30"/>
      <c r="K58" s="30"/>
      <c r="L58" s="30"/>
      <c r="M58" s="31"/>
      <c r="N58" s="50" t="s">
        <v>62</v>
      </c>
      <c r="O58" s="73"/>
      <c r="P58" s="74"/>
      <c r="Q58" s="82"/>
      <c r="R58" s="83" t="s">
        <v>63</v>
      </c>
      <c r="S58" s="73"/>
      <c r="T58" s="74"/>
      <c r="U58" s="82"/>
    </row>
    <row r="59" spans="1:21" ht="15" x14ac:dyDescent="0.2">
      <c r="A59" s="36"/>
      <c r="B59" s="30"/>
      <c r="C59" s="30"/>
      <c r="D59" s="30"/>
      <c r="E59" s="30"/>
      <c r="F59" s="30"/>
      <c r="G59" s="30"/>
      <c r="H59" s="31"/>
      <c r="I59" s="36"/>
      <c r="J59" s="30"/>
      <c r="K59" s="30"/>
      <c r="L59" s="30"/>
      <c r="M59" s="31"/>
      <c r="N59" s="50" t="s">
        <v>64</v>
      </c>
      <c r="O59" s="73"/>
      <c r="P59" s="74"/>
      <c r="Q59" s="82"/>
      <c r="R59" s="83" t="s">
        <v>65</v>
      </c>
      <c r="S59" s="73"/>
      <c r="T59" s="74"/>
      <c r="U59" s="82"/>
    </row>
    <row r="60" spans="1:21" ht="15" x14ac:dyDescent="0.2">
      <c r="A60" s="36"/>
      <c r="B60" s="30"/>
      <c r="C60" s="30"/>
      <c r="D60" s="30"/>
      <c r="E60" s="30"/>
      <c r="F60" s="30"/>
      <c r="G60" s="30"/>
      <c r="H60" s="31"/>
      <c r="I60" s="36"/>
      <c r="J60" s="30"/>
      <c r="K60" s="30"/>
      <c r="L60" s="30"/>
      <c r="M60" s="31"/>
      <c r="N60" s="50" t="s">
        <v>66</v>
      </c>
      <c r="O60" s="73"/>
      <c r="P60" s="74"/>
      <c r="Q60" s="82"/>
      <c r="R60" s="83" t="s">
        <v>67</v>
      </c>
      <c r="S60" s="73"/>
      <c r="T60" s="74"/>
      <c r="U60" s="82"/>
    </row>
    <row r="61" spans="1:21" x14ac:dyDescent="0.2">
      <c r="A61" s="32"/>
      <c r="B61" s="18"/>
      <c r="C61" s="18"/>
      <c r="D61" s="18"/>
      <c r="E61" s="18"/>
      <c r="F61" s="18"/>
      <c r="G61" s="18"/>
      <c r="H61" s="19"/>
      <c r="I61" s="32"/>
      <c r="J61" s="18"/>
      <c r="K61" s="18"/>
      <c r="L61" s="18"/>
      <c r="M61" s="19"/>
      <c r="N61" s="84" t="s">
        <v>49</v>
      </c>
      <c r="O61" s="83"/>
      <c r="P61" s="73"/>
      <c r="Q61" s="73"/>
      <c r="R61" s="73"/>
      <c r="S61" s="73"/>
      <c r="T61" s="73"/>
      <c r="U61" s="74"/>
    </row>
    <row r="62" spans="1:21" ht="15" x14ac:dyDescent="0.2">
      <c r="A62" s="35" t="s">
        <v>68</v>
      </c>
      <c r="B62" s="25"/>
      <c r="C62" s="25"/>
      <c r="D62" s="25"/>
      <c r="E62" s="25"/>
      <c r="F62" s="25"/>
      <c r="G62" s="25"/>
      <c r="H62" s="26"/>
      <c r="I62" s="35"/>
      <c r="J62" s="25"/>
      <c r="K62" s="25"/>
      <c r="L62" s="25"/>
      <c r="M62" s="26"/>
      <c r="N62" s="72"/>
      <c r="O62" s="73"/>
      <c r="P62" s="73"/>
      <c r="Q62" s="73"/>
      <c r="R62" s="73"/>
      <c r="S62" s="73"/>
      <c r="T62" s="73"/>
      <c r="U62" s="74"/>
    </row>
    <row r="63" spans="1:21" ht="15" x14ac:dyDescent="0.2">
      <c r="A63" s="36"/>
      <c r="B63" s="30"/>
      <c r="C63" s="30"/>
      <c r="D63" s="30"/>
      <c r="E63" s="30"/>
      <c r="F63" s="30"/>
      <c r="G63" s="30"/>
      <c r="H63" s="31"/>
      <c r="I63" s="36"/>
      <c r="J63" s="30"/>
      <c r="K63" s="30"/>
      <c r="L63" s="30"/>
      <c r="M63" s="31"/>
      <c r="N63" s="50" t="s">
        <v>69</v>
      </c>
      <c r="O63" s="73"/>
      <c r="P63" s="74"/>
      <c r="Q63" s="82"/>
      <c r="R63" s="83" t="s">
        <v>70</v>
      </c>
      <c r="S63" s="73"/>
      <c r="T63" s="74"/>
      <c r="U63" s="82"/>
    </row>
    <row r="64" spans="1:21" ht="15" x14ac:dyDescent="0.2">
      <c r="A64" s="36"/>
      <c r="B64" s="30"/>
      <c r="C64" s="30"/>
      <c r="D64" s="30"/>
      <c r="E64" s="30"/>
      <c r="F64" s="30"/>
      <c r="G64" s="30"/>
      <c r="H64" s="31"/>
      <c r="I64" s="36"/>
      <c r="J64" s="30"/>
      <c r="K64" s="30"/>
      <c r="L64" s="30"/>
      <c r="M64" s="31"/>
      <c r="N64" s="50" t="s">
        <v>64</v>
      </c>
      <c r="O64" s="73"/>
      <c r="P64" s="74"/>
      <c r="Q64" s="82"/>
      <c r="R64" s="83" t="s">
        <v>71</v>
      </c>
      <c r="S64" s="73"/>
      <c r="T64" s="74"/>
      <c r="U64" s="82"/>
    </row>
    <row r="65" spans="1:21" ht="15" x14ac:dyDescent="0.2">
      <c r="A65" s="36"/>
      <c r="B65" s="30"/>
      <c r="C65" s="30"/>
      <c r="D65" s="30"/>
      <c r="E65" s="30"/>
      <c r="F65" s="30"/>
      <c r="G65" s="30"/>
      <c r="H65" s="31"/>
      <c r="I65" s="36"/>
      <c r="J65" s="30"/>
      <c r="K65" s="30"/>
      <c r="L65" s="30"/>
      <c r="M65" s="31"/>
      <c r="N65" s="50" t="s">
        <v>72</v>
      </c>
      <c r="O65" s="73"/>
      <c r="P65" s="74"/>
      <c r="Q65" s="82"/>
      <c r="R65" s="83" t="s">
        <v>73</v>
      </c>
      <c r="S65" s="73"/>
      <c r="T65" s="74"/>
      <c r="U65" s="82"/>
    </row>
    <row r="66" spans="1:21" ht="15" x14ac:dyDescent="0.2">
      <c r="A66" s="36"/>
      <c r="B66" s="30"/>
      <c r="C66" s="30"/>
      <c r="D66" s="30"/>
      <c r="E66" s="30"/>
      <c r="F66" s="30"/>
      <c r="G66" s="30"/>
      <c r="H66" s="31"/>
      <c r="I66" s="36"/>
      <c r="J66" s="30"/>
      <c r="K66" s="30"/>
      <c r="L66" s="30"/>
      <c r="M66" s="31"/>
      <c r="N66" s="50" t="s">
        <v>74</v>
      </c>
      <c r="O66" s="73"/>
      <c r="P66" s="73"/>
      <c r="Q66" s="73"/>
      <c r="R66" s="73"/>
      <c r="S66" s="73"/>
      <c r="T66" s="74"/>
      <c r="U66" s="82"/>
    </row>
    <row r="67" spans="1:21" x14ac:dyDescent="0.2">
      <c r="A67" s="32"/>
      <c r="B67" s="18"/>
      <c r="C67" s="18"/>
      <c r="D67" s="18"/>
      <c r="E67" s="18"/>
      <c r="F67" s="18"/>
      <c r="G67" s="18"/>
      <c r="H67" s="19"/>
      <c r="I67" s="32"/>
      <c r="J67" s="18"/>
      <c r="K67" s="18"/>
      <c r="L67" s="18"/>
      <c r="M67" s="19"/>
      <c r="N67" s="84" t="s">
        <v>49</v>
      </c>
      <c r="O67" s="83"/>
      <c r="P67" s="73"/>
      <c r="Q67" s="73"/>
      <c r="R67" s="73"/>
      <c r="S67" s="73"/>
      <c r="T67" s="73"/>
      <c r="U67" s="74"/>
    </row>
    <row r="68" spans="1:21" ht="15" x14ac:dyDescent="0.2">
      <c r="A68" s="35" t="s">
        <v>75</v>
      </c>
      <c r="B68" s="25"/>
      <c r="C68" s="25"/>
      <c r="D68" s="25"/>
      <c r="E68" s="25"/>
      <c r="F68" s="25"/>
      <c r="G68" s="25"/>
      <c r="H68" s="26"/>
      <c r="I68" s="35"/>
      <c r="J68" s="25"/>
      <c r="K68" s="25"/>
      <c r="L68" s="25"/>
      <c r="M68" s="26"/>
      <c r="N68" s="72"/>
      <c r="O68" s="73"/>
      <c r="P68" s="73"/>
      <c r="Q68" s="73"/>
      <c r="R68" s="73"/>
      <c r="S68" s="73"/>
      <c r="T68" s="73"/>
      <c r="U68" s="74"/>
    </row>
    <row r="69" spans="1:21" ht="15" x14ac:dyDescent="0.2">
      <c r="A69" s="36"/>
      <c r="B69" s="30"/>
      <c r="C69" s="30"/>
      <c r="D69" s="30"/>
      <c r="E69" s="30"/>
      <c r="F69" s="30"/>
      <c r="G69" s="30"/>
      <c r="H69" s="31"/>
      <c r="I69" s="36"/>
      <c r="J69" s="30"/>
      <c r="K69" s="30"/>
      <c r="L69" s="30"/>
      <c r="M69" s="31"/>
      <c r="N69" s="50" t="s">
        <v>76</v>
      </c>
      <c r="O69" s="73"/>
      <c r="P69" s="74"/>
      <c r="Q69" s="82"/>
      <c r="R69" s="83" t="s">
        <v>77</v>
      </c>
      <c r="S69" s="73"/>
      <c r="T69" s="74"/>
      <c r="U69" s="82"/>
    </row>
    <row r="70" spans="1:21" ht="15" x14ac:dyDescent="0.2">
      <c r="A70" s="36"/>
      <c r="B70" s="30"/>
      <c r="C70" s="30"/>
      <c r="D70" s="30"/>
      <c r="E70" s="30"/>
      <c r="F70" s="30"/>
      <c r="G70" s="30"/>
      <c r="H70" s="31"/>
      <c r="I70" s="36"/>
      <c r="J70" s="30"/>
      <c r="K70" s="30"/>
      <c r="L70" s="30"/>
      <c r="M70" s="31"/>
      <c r="N70" s="50" t="s">
        <v>78</v>
      </c>
      <c r="O70" s="73"/>
      <c r="P70" s="74"/>
      <c r="Q70" s="82"/>
      <c r="R70" s="83" t="s">
        <v>79</v>
      </c>
      <c r="S70" s="73"/>
      <c r="T70" s="74"/>
      <c r="U70" s="82"/>
    </row>
    <row r="71" spans="1:21" ht="15" x14ac:dyDescent="0.2">
      <c r="A71" s="36"/>
      <c r="B71" s="30"/>
      <c r="C71" s="30"/>
      <c r="D71" s="30"/>
      <c r="E71" s="30"/>
      <c r="F71" s="30"/>
      <c r="G71" s="30"/>
      <c r="H71" s="31"/>
      <c r="I71" s="36"/>
      <c r="J71" s="30"/>
      <c r="K71" s="30"/>
      <c r="L71" s="30"/>
      <c r="M71" s="31"/>
      <c r="N71" s="50" t="s">
        <v>80</v>
      </c>
      <c r="O71" s="73"/>
      <c r="P71" s="73"/>
      <c r="Q71" s="73"/>
      <c r="R71" s="73"/>
      <c r="S71" s="73"/>
      <c r="T71" s="74"/>
      <c r="U71" s="82"/>
    </row>
    <row r="72" spans="1:21" x14ac:dyDescent="0.2">
      <c r="A72" s="32"/>
      <c r="B72" s="18"/>
      <c r="C72" s="18"/>
      <c r="D72" s="18"/>
      <c r="E72" s="18"/>
      <c r="F72" s="18"/>
      <c r="G72" s="18"/>
      <c r="H72" s="19"/>
      <c r="I72" s="32"/>
      <c r="J72" s="18"/>
      <c r="K72" s="18"/>
      <c r="L72" s="18"/>
      <c r="M72" s="19"/>
      <c r="N72" s="84" t="s">
        <v>49</v>
      </c>
      <c r="O72" s="83"/>
      <c r="P72" s="73"/>
      <c r="Q72" s="73"/>
      <c r="R72" s="73"/>
      <c r="S72" s="73"/>
      <c r="T72" s="73"/>
      <c r="U72" s="74"/>
    </row>
    <row r="73" spans="1:21" ht="15" x14ac:dyDescent="0.2">
      <c r="A73" s="35" t="s">
        <v>81</v>
      </c>
      <c r="B73" s="25"/>
      <c r="C73" s="25"/>
      <c r="D73" s="25"/>
      <c r="E73" s="25"/>
      <c r="F73" s="25"/>
      <c r="G73" s="25"/>
      <c r="H73" s="26"/>
      <c r="I73" s="35"/>
      <c r="J73" s="25"/>
      <c r="K73" s="25"/>
      <c r="L73" s="25"/>
      <c r="M73" s="26"/>
      <c r="N73" s="72"/>
      <c r="O73" s="73"/>
      <c r="P73" s="73"/>
      <c r="Q73" s="73"/>
      <c r="R73" s="73"/>
      <c r="S73" s="73"/>
      <c r="T73" s="73"/>
      <c r="U73" s="74"/>
    </row>
    <row r="74" spans="1:21" ht="15" x14ac:dyDescent="0.2">
      <c r="A74" s="36"/>
      <c r="B74" s="30"/>
      <c r="C74" s="30"/>
      <c r="D74" s="30"/>
      <c r="E74" s="30"/>
      <c r="F74" s="30"/>
      <c r="G74" s="30"/>
      <c r="H74" s="31"/>
      <c r="I74" s="36"/>
      <c r="J74" s="30"/>
      <c r="K74" s="30"/>
      <c r="L74" s="30"/>
      <c r="M74" s="31"/>
      <c r="N74" s="50" t="s">
        <v>82</v>
      </c>
      <c r="O74" s="73"/>
      <c r="P74" s="74"/>
      <c r="Q74" s="82"/>
      <c r="R74" s="83" t="s">
        <v>83</v>
      </c>
      <c r="S74" s="73"/>
      <c r="T74" s="74"/>
      <c r="U74" s="82"/>
    </row>
    <row r="75" spans="1:21" ht="15" x14ac:dyDescent="0.2">
      <c r="A75" s="36"/>
      <c r="B75" s="30"/>
      <c r="C75" s="30"/>
      <c r="D75" s="30"/>
      <c r="E75" s="30"/>
      <c r="F75" s="30"/>
      <c r="G75" s="30"/>
      <c r="H75" s="31"/>
      <c r="I75" s="36"/>
      <c r="J75" s="30"/>
      <c r="K75" s="30"/>
      <c r="L75" s="30"/>
      <c r="M75" s="31"/>
      <c r="N75" s="50" t="s">
        <v>84</v>
      </c>
      <c r="O75" s="73"/>
      <c r="P75" s="74"/>
      <c r="Q75" s="82"/>
      <c r="R75" s="83" t="s">
        <v>85</v>
      </c>
      <c r="S75" s="73"/>
      <c r="T75" s="74"/>
      <c r="U75" s="82"/>
    </row>
    <row r="76" spans="1:21" x14ac:dyDescent="0.2">
      <c r="A76" s="32"/>
      <c r="B76" s="18"/>
      <c r="C76" s="18"/>
      <c r="D76" s="18"/>
      <c r="E76" s="18"/>
      <c r="F76" s="18"/>
      <c r="G76" s="18"/>
      <c r="H76" s="19"/>
      <c r="I76" s="32"/>
      <c r="J76" s="18"/>
      <c r="K76" s="18"/>
      <c r="L76" s="18"/>
      <c r="M76" s="19"/>
      <c r="N76" s="84" t="s">
        <v>49</v>
      </c>
      <c r="O76" s="83"/>
      <c r="P76" s="73"/>
      <c r="Q76" s="73"/>
      <c r="R76" s="73"/>
      <c r="S76" s="73"/>
      <c r="T76" s="73"/>
      <c r="U76" s="74"/>
    </row>
    <row r="77" spans="1:21" ht="15" x14ac:dyDescent="0.2">
      <c r="A77" s="23" t="s">
        <v>86</v>
      </c>
      <c r="B77" s="21"/>
      <c r="C77" s="21"/>
      <c r="D77" s="21"/>
      <c r="E77" s="21"/>
      <c r="F77" s="21"/>
      <c r="G77" s="21"/>
      <c r="H77" s="21"/>
      <c r="I77" s="21"/>
      <c r="J77" s="21"/>
      <c r="K77" s="21"/>
      <c r="L77" s="21"/>
      <c r="M77" s="21"/>
      <c r="N77" s="21"/>
      <c r="O77" s="21"/>
      <c r="P77" s="21"/>
      <c r="Q77" s="21"/>
      <c r="R77" s="21"/>
      <c r="S77" s="21"/>
      <c r="T77" s="21"/>
      <c r="U77" s="22"/>
    </row>
    <row r="78" spans="1:21" ht="15" x14ac:dyDescent="0.2">
      <c r="A78" s="41" t="s">
        <v>23</v>
      </c>
      <c r="B78" s="18"/>
      <c r="C78" s="18"/>
      <c r="D78" s="18"/>
      <c r="E78" s="18"/>
      <c r="F78" s="18"/>
      <c r="G78" s="18"/>
      <c r="H78" s="18"/>
      <c r="I78" s="18"/>
      <c r="J78" s="19"/>
      <c r="K78" s="42" t="s">
        <v>24</v>
      </c>
      <c r="L78" s="18"/>
      <c r="M78" s="18"/>
      <c r="N78" s="19"/>
      <c r="O78" s="43" t="s">
        <v>25</v>
      </c>
      <c r="P78" s="30"/>
      <c r="Q78" s="31"/>
      <c r="R78" s="43" t="s">
        <v>26</v>
      </c>
      <c r="S78" s="30"/>
      <c r="T78" s="30"/>
      <c r="U78" s="31"/>
    </row>
    <row r="79" spans="1:21" x14ac:dyDescent="0.2">
      <c r="A79" s="41" t="s">
        <v>27</v>
      </c>
      <c r="B79" s="19"/>
      <c r="C79" s="42" t="s">
        <v>28</v>
      </c>
      <c r="D79" s="18"/>
      <c r="E79" s="18"/>
      <c r="F79" s="18"/>
      <c r="G79" s="19"/>
      <c r="H79" s="42" t="s">
        <v>29</v>
      </c>
      <c r="I79" s="18"/>
      <c r="J79" s="19"/>
      <c r="K79" s="10" t="s">
        <v>30</v>
      </c>
      <c r="L79" s="42" t="s">
        <v>31</v>
      </c>
      <c r="M79" s="18"/>
      <c r="N79" s="19"/>
      <c r="O79" s="18"/>
      <c r="P79" s="18"/>
      <c r="Q79" s="19"/>
      <c r="R79" s="18"/>
      <c r="S79" s="18"/>
      <c r="T79" s="18"/>
      <c r="U79" s="19"/>
    </row>
    <row r="80" spans="1:21" ht="15" x14ac:dyDescent="0.2">
      <c r="A80" s="44">
        <v>2</v>
      </c>
      <c r="B80" s="58"/>
      <c r="C80" s="47"/>
      <c r="D80" s="59"/>
      <c r="E80" s="59"/>
      <c r="F80" s="59"/>
      <c r="G80" s="58"/>
      <c r="H80" s="47"/>
      <c r="I80" s="59"/>
      <c r="J80" s="58"/>
      <c r="K80" s="60"/>
      <c r="L80" s="46"/>
      <c r="M80" s="61"/>
      <c r="N80" s="62"/>
      <c r="O80" s="47"/>
      <c r="P80" s="59"/>
      <c r="Q80" s="58"/>
      <c r="R80" s="46"/>
      <c r="S80" s="61"/>
      <c r="T80" s="61"/>
      <c r="U80" s="62"/>
    </row>
    <row r="81" spans="1:21" ht="15" x14ac:dyDescent="0.2">
      <c r="A81" s="41" t="s">
        <v>32</v>
      </c>
      <c r="B81" s="18"/>
      <c r="C81" s="18"/>
      <c r="D81" s="18"/>
      <c r="E81" s="19"/>
      <c r="F81" s="42" t="s">
        <v>87</v>
      </c>
      <c r="G81" s="18"/>
      <c r="H81" s="19"/>
      <c r="I81" s="42" t="s">
        <v>34</v>
      </c>
      <c r="J81" s="19"/>
      <c r="K81" s="42" t="s">
        <v>25</v>
      </c>
      <c r="L81" s="18"/>
      <c r="M81" s="19"/>
      <c r="N81" s="42" t="s">
        <v>35</v>
      </c>
      <c r="O81" s="18"/>
      <c r="P81" s="18"/>
      <c r="Q81" s="18"/>
      <c r="R81" s="19"/>
      <c r="S81" s="42" t="s">
        <v>36</v>
      </c>
      <c r="T81" s="18"/>
      <c r="U81" s="19"/>
    </row>
    <row r="82" spans="1:21" ht="15" x14ac:dyDescent="0.2">
      <c r="A82" s="63"/>
      <c r="B82" s="59"/>
      <c r="C82" s="59"/>
      <c r="D82" s="59"/>
      <c r="E82" s="58"/>
      <c r="F82" s="64"/>
      <c r="G82" s="59"/>
      <c r="H82" s="58"/>
      <c r="I82" s="64"/>
      <c r="J82" s="58"/>
      <c r="K82" s="65"/>
      <c r="L82" s="59"/>
      <c r="M82" s="58"/>
      <c r="N82" s="64"/>
      <c r="O82" s="59"/>
      <c r="P82" s="59"/>
      <c r="Q82" s="59"/>
      <c r="R82" s="58"/>
      <c r="S82" s="64"/>
      <c r="T82" s="59"/>
      <c r="U82" s="58"/>
    </row>
    <row r="83" spans="1:21" ht="40.5" customHeight="1" x14ac:dyDescent="0.2">
      <c r="A83" s="41" t="s">
        <v>37</v>
      </c>
      <c r="B83" s="18"/>
      <c r="C83" s="18"/>
      <c r="D83" s="18"/>
      <c r="E83" s="18"/>
      <c r="F83" s="19"/>
      <c r="G83" s="47"/>
      <c r="H83" s="59"/>
      <c r="I83" s="58"/>
      <c r="J83" s="48" t="s">
        <v>39</v>
      </c>
      <c r="K83" s="19"/>
      <c r="L83" s="47"/>
      <c r="M83" s="59"/>
      <c r="N83" s="58"/>
      <c r="O83" s="42" t="s">
        <v>40</v>
      </c>
      <c r="P83" s="18"/>
      <c r="Q83" s="19"/>
      <c r="R83" s="47"/>
      <c r="S83" s="59"/>
      <c r="T83" s="59"/>
      <c r="U83" s="58"/>
    </row>
    <row r="84" spans="1:21" ht="15" x14ac:dyDescent="0.2">
      <c r="A84" s="41" t="s">
        <v>41</v>
      </c>
      <c r="B84" s="18"/>
      <c r="C84" s="18"/>
      <c r="D84" s="18"/>
      <c r="E84" s="18"/>
      <c r="F84" s="18"/>
      <c r="G84" s="18"/>
      <c r="H84" s="19"/>
      <c r="I84" s="46"/>
      <c r="J84" s="61"/>
      <c r="K84" s="62"/>
      <c r="L84" s="42" t="s">
        <v>42</v>
      </c>
      <c r="M84" s="18"/>
      <c r="N84" s="18"/>
      <c r="O84" s="18"/>
      <c r="P84" s="18"/>
      <c r="Q84" s="46"/>
      <c r="R84" s="61"/>
      <c r="S84" s="61"/>
      <c r="T84" s="61"/>
      <c r="U84" s="62"/>
    </row>
    <row r="85" spans="1:21" ht="15" x14ac:dyDescent="0.2">
      <c r="A85" s="23" t="s">
        <v>43</v>
      </c>
      <c r="B85" s="21"/>
      <c r="C85" s="21"/>
      <c r="D85" s="21"/>
      <c r="E85" s="21"/>
      <c r="F85" s="21"/>
      <c r="G85" s="21"/>
      <c r="H85" s="21"/>
      <c r="I85" s="21"/>
      <c r="J85" s="21"/>
      <c r="K85" s="21"/>
      <c r="L85" s="21"/>
      <c r="M85" s="21"/>
      <c r="N85" s="21"/>
      <c r="O85" s="21"/>
      <c r="P85" s="21"/>
      <c r="Q85" s="21"/>
      <c r="R85" s="21"/>
      <c r="S85" s="21"/>
      <c r="T85" s="21"/>
      <c r="U85" s="22"/>
    </row>
    <row r="86" spans="1:21" ht="15" x14ac:dyDescent="0.2">
      <c r="A86" s="33" t="s">
        <v>44</v>
      </c>
      <c r="B86" s="18"/>
      <c r="C86" s="18"/>
      <c r="D86" s="18"/>
      <c r="E86" s="18"/>
      <c r="F86" s="18"/>
      <c r="G86" s="18"/>
      <c r="H86" s="18"/>
      <c r="I86" s="18"/>
      <c r="J86" s="18"/>
      <c r="K86" s="18"/>
      <c r="L86" s="18"/>
      <c r="M86" s="18"/>
      <c r="N86" s="18"/>
      <c r="O86" s="18"/>
      <c r="P86" s="18"/>
      <c r="Q86" s="18"/>
      <c r="R86" s="18"/>
      <c r="S86" s="18"/>
      <c r="T86" s="18"/>
      <c r="U86" s="19"/>
    </row>
    <row r="87" spans="1:21" ht="15" x14ac:dyDescent="0.2">
      <c r="A87" s="38" t="s">
        <v>45</v>
      </c>
      <c r="B87" s="18"/>
      <c r="C87" s="18"/>
      <c r="D87" s="18"/>
      <c r="E87" s="18"/>
      <c r="F87" s="18"/>
      <c r="G87" s="18"/>
      <c r="H87" s="19"/>
      <c r="I87" s="39" t="s">
        <v>46</v>
      </c>
      <c r="J87" s="18"/>
      <c r="K87" s="18"/>
      <c r="L87" s="18"/>
      <c r="M87" s="19"/>
      <c r="N87" s="40" t="s">
        <v>47</v>
      </c>
      <c r="O87" s="21"/>
      <c r="P87" s="21"/>
      <c r="Q87" s="21"/>
      <c r="R87" s="21"/>
      <c r="S87" s="21"/>
      <c r="T87" s="21"/>
      <c r="U87" s="22"/>
    </row>
    <row r="88" spans="1:21" ht="15" x14ac:dyDescent="0.2">
      <c r="A88" s="29" t="s">
        <v>48</v>
      </c>
      <c r="B88" s="30"/>
      <c r="C88" s="30"/>
      <c r="D88" s="30"/>
      <c r="E88" s="30"/>
      <c r="F88" s="30"/>
      <c r="G88" s="30"/>
      <c r="H88" s="31"/>
      <c r="I88" s="37"/>
      <c r="J88" s="66"/>
      <c r="K88" s="66"/>
      <c r="L88" s="66"/>
      <c r="M88" s="67"/>
      <c r="N88" s="72"/>
      <c r="O88" s="73"/>
      <c r="P88" s="73"/>
      <c r="Q88" s="73"/>
      <c r="R88" s="73"/>
      <c r="S88" s="73"/>
      <c r="T88" s="73"/>
      <c r="U88" s="74"/>
    </row>
    <row r="89" spans="1:21" ht="15" x14ac:dyDescent="0.2">
      <c r="A89" s="36"/>
      <c r="B89" s="30"/>
      <c r="C89" s="30"/>
      <c r="D89" s="30"/>
      <c r="E89" s="30"/>
      <c r="F89" s="30"/>
      <c r="G89" s="30"/>
      <c r="H89" s="31"/>
      <c r="I89" s="68"/>
      <c r="J89" s="69"/>
      <c r="K89" s="69"/>
      <c r="L89" s="69"/>
      <c r="M89" s="70"/>
      <c r="N89" s="77"/>
      <c r="O89" s="73"/>
      <c r="P89" s="73"/>
      <c r="Q89" s="73"/>
      <c r="R89" s="73"/>
      <c r="S89" s="73"/>
      <c r="T89" s="73"/>
      <c r="U89" s="74"/>
    </row>
    <row r="90" spans="1:21" x14ac:dyDescent="0.2">
      <c r="A90" s="32"/>
      <c r="B90" s="18"/>
      <c r="C90" s="18"/>
      <c r="D90" s="18"/>
      <c r="E90" s="18"/>
      <c r="F90" s="18"/>
      <c r="G90" s="18"/>
      <c r="H90" s="19"/>
      <c r="I90" s="71"/>
      <c r="J90" s="59"/>
      <c r="K90" s="59"/>
      <c r="L90" s="59"/>
      <c r="M90" s="59"/>
      <c r="N90" s="78" t="s">
        <v>49</v>
      </c>
      <c r="O90" s="76"/>
      <c r="P90" s="73"/>
      <c r="Q90" s="73"/>
      <c r="R90" s="73"/>
      <c r="S90" s="73"/>
      <c r="T90" s="73"/>
      <c r="U90" s="74"/>
    </row>
    <row r="91" spans="1:21" ht="15" x14ac:dyDescent="0.2">
      <c r="A91" s="29" t="s">
        <v>50</v>
      </c>
      <c r="B91" s="30"/>
      <c r="C91" s="30"/>
      <c r="D91" s="30"/>
      <c r="E91" s="30"/>
      <c r="F91" s="30"/>
      <c r="G91" s="30"/>
      <c r="H91" s="31"/>
      <c r="I91" s="37"/>
      <c r="J91" s="66"/>
      <c r="K91" s="66"/>
      <c r="L91" s="66"/>
      <c r="M91" s="67"/>
      <c r="N91" s="77"/>
      <c r="O91" s="73"/>
      <c r="P91" s="73"/>
      <c r="Q91" s="73"/>
      <c r="R91" s="73"/>
      <c r="S91" s="73"/>
      <c r="T91" s="73"/>
      <c r="U91" s="74"/>
    </row>
    <row r="92" spans="1:21" x14ac:dyDescent="0.2">
      <c r="A92" s="32"/>
      <c r="B92" s="18"/>
      <c r="C92" s="18"/>
      <c r="D92" s="18"/>
      <c r="E92" s="18"/>
      <c r="F92" s="18"/>
      <c r="G92" s="18"/>
      <c r="H92" s="19"/>
      <c r="I92" s="71"/>
      <c r="J92" s="59"/>
      <c r="K92" s="59"/>
      <c r="L92" s="59"/>
      <c r="M92" s="59"/>
      <c r="N92" s="78" t="s">
        <v>49</v>
      </c>
      <c r="O92" s="76"/>
      <c r="P92" s="73"/>
      <c r="Q92" s="73"/>
      <c r="R92" s="73"/>
      <c r="S92" s="73"/>
      <c r="T92" s="73"/>
      <c r="U92" s="74"/>
    </row>
    <row r="93" spans="1:21" ht="15" x14ac:dyDescent="0.2">
      <c r="A93" s="29" t="s">
        <v>51</v>
      </c>
      <c r="B93" s="30"/>
      <c r="C93" s="30"/>
      <c r="D93" s="30"/>
      <c r="E93" s="30"/>
      <c r="F93" s="30"/>
      <c r="G93" s="30"/>
      <c r="H93" s="31"/>
      <c r="I93" s="37"/>
      <c r="J93" s="66"/>
      <c r="K93" s="66"/>
      <c r="L93" s="66"/>
      <c r="M93" s="67"/>
      <c r="N93" s="77"/>
      <c r="O93" s="73"/>
      <c r="P93" s="73"/>
      <c r="Q93" s="73"/>
      <c r="R93" s="73"/>
      <c r="S93" s="73"/>
      <c r="T93" s="73"/>
      <c r="U93" s="74"/>
    </row>
    <row r="94" spans="1:21" x14ac:dyDescent="0.2">
      <c r="A94" s="32"/>
      <c r="B94" s="18"/>
      <c r="C94" s="18"/>
      <c r="D94" s="18"/>
      <c r="E94" s="18"/>
      <c r="F94" s="18"/>
      <c r="G94" s="18"/>
      <c r="H94" s="19"/>
      <c r="I94" s="71"/>
      <c r="J94" s="59"/>
      <c r="K94" s="59"/>
      <c r="L94" s="59"/>
      <c r="M94" s="59"/>
      <c r="N94" s="78" t="s">
        <v>49</v>
      </c>
      <c r="O94" s="76"/>
      <c r="P94" s="73"/>
      <c r="Q94" s="73"/>
      <c r="R94" s="73"/>
      <c r="S94" s="73"/>
      <c r="T94" s="73"/>
      <c r="U94" s="74"/>
    </row>
    <row r="95" spans="1:21" ht="15" x14ac:dyDescent="0.2">
      <c r="A95" s="29" t="s">
        <v>52</v>
      </c>
      <c r="B95" s="30"/>
      <c r="C95" s="30"/>
      <c r="D95" s="30"/>
      <c r="E95" s="30"/>
      <c r="F95" s="30"/>
      <c r="G95" s="30"/>
      <c r="H95" s="31"/>
      <c r="I95" s="37"/>
      <c r="J95" s="66"/>
      <c r="K95" s="66"/>
      <c r="L95" s="66"/>
      <c r="M95" s="67"/>
      <c r="N95" s="72"/>
      <c r="O95" s="73"/>
      <c r="P95" s="73"/>
      <c r="Q95" s="73"/>
      <c r="R95" s="73"/>
      <c r="S95" s="73"/>
      <c r="T95" s="73"/>
      <c r="U95" s="74"/>
    </row>
    <row r="96" spans="1:21" ht="15" x14ac:dyDescent="0.2">
      <c r="A96" s="36"/>
      <c r="B96" s="30"/>
      <c r="C96" s="30"/>
      <c r="D96" s="30"/>
      <c r="E96" s="30"/>
      <c r="F96" s="30"/>
      <c r="G96" s="30"/>
      <c r="H96" s="31"/>
      <c r="I96" s="68"/>
      <c r="J96" s="69"/>
      <c r="K96" s="69"/>
      <c r="L96" s="69"/>
      <c r="M96" s="70"/>
      <c r="N96" s="77"/>
      <c r="O96" s="73"/>
      <c r="P96" s="73"/>
      <c r="Q96" s="73"/>
      <c r="R96" s="73"/>
      <c r="S96" s="73"/>
      <c r="T96" s="73"/>
      <c r="U96" s="74"/>
    </row>
    <row r="97" spans="1:21" x14ac:dyDescent="0.2">
      <c r="A97" s="32"/>
      <c r="B97" s="18"/>
      <c r="C97" s="18"/>
      <c r="D97" s="18"/>
      <c r="E97" s="18"/>
      <c r="F97" s="18"/>
      <c r="G97" s="18"/>
      <c r="H97" s="19"/>
      <c r="I97" s="71"/>
      <c r="J97" s="59"/>
      <c r="K97" s="59"/>
      <c r="L97" s="59"/>
      <c r="M97" s="59"/>
      <c r="N97" s="78" t="s">
        <v>49</v>
      </c>
      <c r="O97" s="76"/>
      <c r="P97" s="73"/>
      <c r="Q97" s="73"/>
      <c r="R97" s="73"/>
      <c r="S97" s="73"/>
      <c r="T97" s="73"/>
      <c r="U97" s="74"/>
    </row>
    <row r="98" spans="1:21" ht="15" x14ac:dyDescent="0.2">
      <c r="A98" s="33" t="s">
        <v>53</v>
      </c>
      <c r="B98" s="18"/>
      <c r="C98" s="18"/>
      <c r="D98" s="18"/>
      <c r="E98" s="18"/>
      <c r="F98" s="18"/>
      <c r="G98" s="18"/>
      <c r="H98" s="18"/>
      <c r="I98" s="18"/>
      <c r="J98" s="18"/>
      <c r="K98" s="18"/>
      <c r="L98" s="18"/>
      <c r="M98" s="18"/>
      <c r="N98" s="18"/>
      <c r="O98" s="18"/>
      <c r="P98" s="18"/>
      <c r="Q98" s="18"/>
      <c r="R98" s="18"/>
      <c r="S98" s="18"/>
      <c r="T98" s="18"/>
      <c r="U98" s="19"/>
    </row>
    <row r="99" spans="1:21" ht="15" x14ac:dyDescent="0.2">
      <c r="A99" s="40" t="s">
        <v>45</v>
      </c>
      <c r="B99" s="21"/>
      <c r="C99" s="21"/>
      <c r="D99" s="21"/>
      <c r="E99" s="21"/>
      <c r="F99" s="21"/>
      <c r="G99" s="21"/>
      <c r="H99" s="22"/>
      <c r="I99" s="40" t="s">
        <v>46</v>
      </c>
      <c r="J99" s="21"/>
      <c r="K99" s="21"/>
      <c r="L99" s="21"/>
      <c r="M99" s="21"/>
      <c r="N99" s="45" t="s">
        <v>47</v>
      </c>
      <c r="O99" s="21"/>
      <c r="P99" s="21"/>
      <c r="Q99" s="21"/>
      <c r="R99" s="21"/>
      <c r="S99" s="21"/>
      <c r="T99" s="21"/>
      <c r="U99" s="22"/>
    </row>
    <row r="100" spans="1:21" ht="15" x14ac:dyDescent="0.2">
      <c r="A100" s="35" t="s">
        <v>54</v>
      </c>
      <c r="B100" s="25"/>
      <c r="C100" s="25"/>
      <c r="D100" s="25"/>
      <c r="E100" s="25"/>
      <c r="F100" s="25"/>
      <c r="G100" s="25"/>
      <c r="H100" s="26"/>
      <c r="I100" s="37"/>
      <c r="J100" s="66"/>
      <c r="K100" s="66"/>
      <c r="L100" s="66"/>
      <c r="M100" s="67"/>
      <c r="N100" s="72"/>
      <c r="O100" s="73"/>
      <c r="P100" s="73"/>
      <c r="Q100" s="73"/>
      <c r="R100" s="73"/>
      <c r="S100" s="73"/>
      <c r="T100" s="73"/>
      <c r="U100" s="74"/>
    </row>
    <row r="101" spans="1:21" ht="15" x14ac:dyDescent="0.2">
      <c r="A101" s="36"/>
      <c r="B101" s="30"/>
      <c r="C101" s="30"/>
      <c r="D101" s="30"/>
      <c r="E101" s="30"/>
      <c r="F101" s="30"/>
      <c r="G101" s="30"/>
      <c r="H101" s="31"/>
      <c r="I101" s="68"/>
      <c r="J101" s="69"/>
      <c r="K101" s="69"/>
      <c r="L101" s="69"/>
      <c r="M101" s="70"/>
      <c r="N101" s="77"/>
      <c r="O101" s="73"/>
      <c r="P101" s="73"/>
      <c r="Q101" s="73"/>
      <c r="R101" s="73"/>
      <c r="S101" s="73"/>
      <c r="T101" s="73"/>
      <c r="U101" s="74"/>
    </row>
    <row r="102" spans="1:21" x14ac:dyDescent="0.2">
      <c r="A102" s="32"/>
      <c r="B102" s="18"/>
      <c r="C102" s="18"/>
      <c r="D102" s="18"/>
      <c r="E102" s="18"/>
      <c r="F102" s="18"/>
      <c r="G102" s="18"/>
      <c r="H102" s="19"/>
      <c r="I102" s="71"/>
      <c r="J102" s="59"/>
      <c r="K102" s="59"/>
      <c r="L102" s="59"/>
      <c r="M102" s="59"/>
      <c r="N102" s="78" t="s">
        <v>49</v>
      </c>
      <c r="O102" s="76"/>
      <c r="P102" s="73"/>
      <c r="Q102" s="73"/>
      <c r="R102" s="73"/>
      <c r="S102" s="73"/>
      <c r="T102" s="73"/>
      <c r="U102" s="74"/>
    </row>
    <row r="103" spans="1:21" ht="15" x14ac:dyDescent="0.2">
      <c r="A103" s="35" t="s">
        <v>55</v>
      </c>
      <c r="B103" s="25"/>
      <c r="C103" s="25"/>
      <c r="D103" s="25"/>
      <c r="E103" s="25"/>
      <c r="F103" s="25"/>
      <c r="G103" s="25"/>
      <c r="H103" s="26"/>
      <c r="I103" s="37"/>
      <c r="J103" s="66"/>
      <c r="K103" s="66"/>
      <c r="L103" s="66"/>
      <c r="M103" s="67"/>
      <c r="N103" s="72"/>
      <c r="O103" s="73"/>
      <c r="P103" s="73"/>
      <c r="Q103" s="73"/>
      <c r="R103" s="73"/>
      <c r="S103" s="73"/>
      <c r="T103" s="73"/>
      <c r="U103" s="74"/>
    </row>
    <row r="104" spans="1:21" ht="15" x14ac:dyDescent="0.2">
      <c r="A104" s="36"/>
      <c r="B104" s="30"/>
      <c r="C104" s="30"/>
      <c r="D104" s="30"/>
      <c r="E104" s="30"/>
      <c r="F104" s="30"/>
      <c r="G104" s="30"/>
      <c r="H104" s="31"/>
      <c r="I104" s="68"/>
      <c r="J104" s="69"/>
      <c r="K104" s="69"/>
      <c r="L104" s="69"/>
      <c r="M104" s="70"/>
      <c r="N104" s="77"/>
      <c r="O104" s="73"/>
      <c r="P104" s="73"/>
      <c r="Q104" s="73"/>
      <c r="R104" s="73"/>
      <c r="S104" s="73"/>
      <c r="T104" s="73"/>
      <c r="U104" s="74"/>
    </row>
    <row r="105" spans="1:21" x14ac:dyDescent="0.2">
      <c r="A105" s="32"/>
      <c r="B105" s="18"/>
      <c r="C105" s="18"/>
      <c r="D105" s="18"/>
      <c r="E105" s="18"/>
      <c r="F105" s="18"/>
      <c r="G105" s="18"/>
      <c r="H105" s="19"/>
      <c r="I105" s="71"/>
      <c r="J105" s="59"/>
      <c r="K105" s="59"/>
      <c r="L105" s="59"/>
      <c r="M105" s="59"/>
      <c r="N105" s="78" t="s">
        <v>49</v>
      </c>
      <c r="O105" s="76"/>
      <c r="P105" s="73"/>
      <c r="Q105" s="73"/>
      <c r="R105" s="73"/>
      <c r="S105" s="73"/>
      <c r="T105" s="73"/>
      <c r="U105" s="74"/>
    </row>
    <row r="106" spans="1:21" ht="15" x14ac:dyDescent="0.2">
      <c r="A106" s="35" t="s">
        <v>56</v>
      </c>
      <c r="B106" s="25"/>
      <c r="C106" s="25"/>
      <c r="D106" s="25"/>
      <c r="E106" s="25"/>
      <c r="F106" s="25"/>
      <c r="G106" s="25"/>
      <c r="H106" s="26"/>
      <c r="I106" s="37"/>
      <c r="J106" s="66"/>
      <c r="K106" s="66"/>
      <c r="L106" s="66"/>
      <c r="M106" s="67"/>
      <c r="N106" s="72"/>
      <c r="O106" s="73"/>
      <c r="P106" s="73"/>
      <c r="Q106" s="73"/>
      <c r="R106" s="73"/>
      <c r="S106" s="73"/>
      <c r="T106" s="73"/>
      <c r="U106" s="74"/>
    </row>
    <row r="107" spans="1:21" ht="15" x14ac:dyDescent="0.2">
      <c r="A107" s="36"/>
      <c r="B107" s="30"/>
      <c r="C107" s="30"/>
      <c r="D107" s="30"/>
      <c r="E107" s="30"/>
      <c r="F107" s="30"/>
      <c r="G107" s="30"/>
      <c r="H107" s="31"/>
      <c r="I107" s="68"/>
      <c r="J107" s="69"/>
      <c r="K107" s="69"/>
      <c r="L107" s="69"/>
      <c r="M107" s="70"/>
      <c r="N107" s="72"/>
      <c r="O107" s="73"/>
      <c r="P107" s="73"/>
      <c r="Q107" s="73"/>
      <c r="R107" s="73"/>
      <c r="S107" s="73"/>
      <c r="T107" s="73"/>
      <c r="U107" s="74"/>
    </row>
    <row r="108" spans="1:21" ht="15" x14ac:dyDescent="0.2">
      <c r="A108" s="36"/>
      <c r="B108" s="30"/>
      <c r="C108" s="30"/>
      <c r="D108" s="30"/>
      <c r="E108" s="30"/>
      <c r="F108" s="30"/>
      <c r="G108" s="30"/>
      <c r="H108" s="31"/>
      <c r="I108" s="68"/>
      <c r="J108" s="69"/>
      <c r="K108" s="69"/>
      <c r="L108" s="69"/>
      <c r="M108" s="70"/>
      <c r="N108" s="77"/>
      <c r="O108" s="73"/>
      <c r="P108" s="73"/>
      <c r="Q108" s="73"/>
      <c r="R108" s="73"/>
      <c r="S108" s="73"/>
      <c r="T108" s="73"/>
      <c r="U108" s="74"/>
    </row>
    <row r="109" spans="1:21" x14ac:dyDescent="0.2">
      <c r="A109" s="36"/>
      <c r="B109" s="30"/>
      <c r="C109" s="30"/>
      <c r="D109" s="30"/>
      <c r="E109" s="30"/>
      <c r="F109" s="30"/>
      <c r="G109" s="30"/>
      <c r="H109" s="31"/>
      <c r="I109" s="71"/>
      <c r="J109" s="59"/>
      <c r="K109" s="59"/>
      <c r="L109" s="59"/>
      <c r="M109" s="59"/>
      <c r="N109" s="78" t="s">
        <v>49</v>
      </c>
      <c r="O109" s="76"/>
      <c r="P109" s="73"/>
      <c r="Q109" s="73"/>
      <c r="R109" s="73"/>
      <c r="S109" s="73"/>
      <c r="T109" s="73"/>
      <c r="U109" s="74"/>
    </row>
    <row r="110" spans="1:21" ht="15" x14ac:dyDescent="0.2">
      <c r="A110" s="35" t="s">
        <v>57</v>
      </c>
      <c r="B110" s="25"/>
      <c r="C110" s="25"/>
      <c r="D110" s="25"/>
      <c r="E110" s="25"/>
      <c r="F110" s="25"/>
      <c r="G110" s="25"/>
      <c r="H110" s="26"/>
      <c r="I110" s="37"/>
      <c r="J110" s="66"/>
      <c r="K110" s="66"/>
      <c r="L110" s="66"/>
      <c r="M110" s="67"/>
      <c r="N110" s="77"/>
      <c r="O110" s="56"/>
      <c r="P110" s="56"/>
      <c r="Q110" s="56"/>
      <c r="R110" s="56"/>
      <c r="S110" s="56"/>
      <c r="T110" s="56"/>
      <c r="U110" s="57"/>
    </row>
    <row r="111" spans="1:21" x14ac:dyDescent="0.2">
      <c r="A111" s="32"/>
      <c r="B111" s="18"/>
      <c r="C111" s="18"/>
      <c r="D111" s="18"/>
      <c r="E111" s="18"/>
      <c r="F111" s="18"/>
      <c r="G111" s="18"/>
      <c r="H111" s="19"/>
      <c r="I111" s="71"/>
      <c r="J111" s="59"/>
      <c r="K111" s="59"/>
      <c r="L111" s="59"/>
      <c r="M111" s="59"/>
      <c r="N111" s="78" t="s">
        <v>49</v>
      </c>
      <c r="O111" s="76"/>
      <c r="P111" s="73"/>
      <c r="Q111" s="73"/>
      <c r="R111" s="73"/>
      <c r="S111" s="73"/>
      <c r="T111" s="73"/>
      <c r="U111" s="74"/>
    </row>
    <row r="112" spans="1:21" ht="15" x14ac:dyDescent="0.2">
      <c r="A112" s="35" t="s">
        <v>58</v>
      </c>
      <c r="B112" s="25"/>
      <c r="C112" s="25"/>
      <c r="D112" s="25"/>
      <c r="E112" s="25"/>
      <c r="F112" s="25"/>
      <c r="G112" s="25"/>
      <c r="H112" s="26"/>
      <c r="I112" s="37"/>
      <c r="J112" s="66"/>
      <c r="K112" s="66"/>
      <c r="L112" s="66"/>
      <c r="M112" s="67"/>
      <c r="N112" s="77"/>
      <c r="O112" s="79"/>
      <c r="P112" s="79"/>
      <c r="Q112" s="79"/>
      <c r="R112" s="79"/>
      <c r="S112" s="79"/>
      <c r="T112" s="79"/>
      <c r="U112" s="80"/>
    </row>
    <row r="113" spans="1:21" ht="15" x14ac:dyDescent="0.2">
      <c r="A113" s="32"/>
      <c r="B113" s="18"/>
      <c r="C113" s="18"/>
      <c r="D113" s="18"/>
      <c r="E113" s="18"/>
      <c r="F113" s="18"/>
      <c r="G113" s="18"/>
      <c r="H113" s="19"/>
      <c r="I113" s="71"/>
      <c r="J113" s="59"/>
      <c r="K113" s="59"/>
      <c r="L113" s="59"/>
      <c r="M113" s="58"/>
      <c r="N113" s="81"/>
      <c r="O113" s="73"/>
      <c r="P113" s="73"/>
      <c r="Q113" s="73"/>
      <c r="R113" s="73"/>
      <c r="S113" s="73"/>
      <c r="T113" s="73"/>
      <c r="U113" s="74"/>
    </row>
    <row r="114" spans="1:21" ht="15" x14ac:dyDescent="0.2">
      <c r="A114" s="35" t="s">
        <v>59</v>
      </c>
      <c r="B114" s="25"/>
      <c r="C114" s="25"/>
      <c r="D114" s="25"/>
      <c r="E114" s="25"/>
      <c r="F114" s="25"/>
      <c r="G114" s="25"/>
      <c r="H114" s="26"/>
      <c r="I114" s="37"/>
      <c r="J114" s="66"/>
      <c r="K114" s="66"/>
      <c r="L114" s="66"/>
      <c r="M114" s="67"/>
      <c r="N114" s="85"/>
      <c r="O114" s="56"/>
      <c r="P114" s="56"/>
      <c r="Q114" s="56"/>
      <c r="R114" s="56"/>
      <c r="S114" s="56"/>
      <c r="T114" s="56"/>
      <c r="U114" s="57"/>
    </row>
    <row r="115" spans="1:21" x14ac:dyDescent="0.2">
      <c r="A115" s="32"/>
      <c r="B115" s="18"/>
      <c r="C115" s="18"/>
      <c r="D115" s="18"/>
      <c r="E115" s="18"/>
      <c r="F115" s="18"/>
      <c r="G115" s="18"/>
      <c r="H115" s="19"/>
      <c r="I115" s="71"/>
      <c r="J115" s="59"/>
      <c r="K115" s="59"/>
      <c r="L115" s="59"/>
      <c r="M115" s="59"/>
      <c r="N115" s="78" t="s">
        <v>49</v>
      </c>
      <c r="O115" s="76"/>
      <c r="P115" s="73"/>
      <c r="Q115" s="73"/>
      <c r="R115" s="73"/>
      <c r="S115" s="73"/>
      <c r="T115" s="73"/>
      <c r="U115" s="74"/>
    </row>
    <row r="116" spans="1:21" ht="15" x14ac:dyDescent="0.2">
      <c r="A116" s="35" t="s">
        <v>60</v>
      </c>
      <c r="B116" s="25"/>
      <c r="C116" s="25"/>
      <c r="D116" s="25"/>
      <c r="E116" s="25"/>
      <c r="F116" s="25"/>
      <c r="G116" s="25"/>
      <c r="H116" s="26"/>
      <c r="I116" s="37"/>
      <c r="J116" s="66"/>
      <c r="K116" s="66"/>
      <c r="L116" s="66"/>
      <c r="M116" s="67"/>
      <c r="N116" s="77"/>
      <c r="O116" s="73"/>
      <c r="P116" s="73"/>
      <c r="Q116" s="73"/>
      <c r="R116" s="73"/>
      <c r="S116" s="73"/>
      <c r="T116" s="73"/>
      <c r="U116" s="74"/>
    </row>
    <row r="117" spans="1:21" x14ac:dyDescent="0.2">
      <c r="A117" s="32"/>
      <c r="B117" s="18"/>
      <c r="C117" s="18"/>
      <c r="D117" s="18"/>
      <c r="E117" s="18"/>
      <c r="F117" s="18"/>
      <c r="G117" s="18"/>
      <c r="H117" s="19"/>
      <c r="I117" s="71"/>
      <c r="J117" s="59"/>
      <c r="K117" s="59"/>
      <c r="L117" s="59"/>
      <c r="M117" s="59"/>
      <c r="N117" s="78" t="s">
        <v>49</v>
      </c>
      <c r="O117" s="76"/>
      <c r="P117" s="73"/>
      <c r="Q117" s="73"/>
      <c r="R117" s="73"/>
      <c r="S117" s="73"/>
      <c r="T117" s="73"/>
      <c r="U117" s="74"/>
    </row>
    <row r="118" spans="1:21" ht="15" x14ac:dyDescent="0.2">
      <c r="A118" s="35" t="s">
        <v>61</v>
      </c>
      <c r="B118" s="25"/>
      <c r="C118" s="25"/>
      <c r="D118" s="25"/>
      <c r="E118" s="25"/>
      <c r="F118" s="25"/>
      <c r="G118" s="25"/>
      <c r="H118" s="26"/>
      <c r="I118" s="37"/>
      <c r="J118" s="66"/>
      <c r="K118" s="66"/>
      <c r="L118" s="66"/>
      <c r="M118" s="67"/>
      <c r="N118" s="72"/>
      <c r="O118" s="56"/>
      <c r="P118" s="56"/>
      <c r="Q118" s="56"/>
      <c r="R118" s="56"/>
      <c r="S118" s="56"/>
      <c r="T118" s="56"/>
      <c r="U118" s="57"/>
    </row>
    <row r="119" spans="1:21" ht="15" x14ac:dyDescent="0.2">
      <c r="A119" s="36"/>
      <c r="B119" s="30"/>
      <c r="C119" s="30"/>
      <c r="D119" s="30"/>
      <c r="E119" s="30"/>
      <c r="F119" s="30"/>
      <c r="G119" s="30"/>
      <c r="H119" s="31"/>
      <c r="I119" s="68"/>
      <c r="J119" s="69"/>
      <c r="K119" s="69"/>
      <c r="L119" s="69"/>
      <c r="M119" s="70"/>
      <c r="N119" s="50" t="s">
        <v>62</v>
      </c>
      <c r="O119" s="73"/>
      <c r="P119" s="74"/>
      <c r="Q119" s="82"/>
      <c r="R119" s="83" t="s">
        <v>63</v>
      </c>
      <c r="S119" s="73"/>
      <c r="T119" s="74"/>
      <c r="U119" s="82"/>
    </row>
    <row r="120" spans="1:21" ht="15" x14ac:dyDescent="0.2">
      <c r="A120" s="36"/>
      <c r="B120" s="30"/>
      <c r="C120" s="30"/>
      <c r="D120" s="30"/>
      <c r="E120" s="30"/>
      <c r="F120" s="30"/>
      <c r="G120" s="30"/>
      <c r="H120" s="31"/>
      <c r="I120" s="68"/>
      <c r="J120" s="69"/>
      <c r="K120" s="69"/>
      <c r="L120" s="69"/>
      <c r="M120" s="70"/>
      <c r="N120" s="50" t="s">
        <v>64</v>
      </c>
      <c r="O120" s="73"/>
      <c r="P120" s="74"/>
      <c r="Q120" s="82"/>
      <c r="R120" s="83" t="s">
        <v>65</v>
      </c>
      <c r="S120" s="73"/>
      <c r="T120" s="74"/>
      <c r="U120" s="82"/>
    </row>
    <row r="121" spans="1:21" ht="15" x14ac:dyDescent="0.2">
      <c r="A121" s="36"/>
      <c r="B121" s="30"/>
      <c r="C121" s="30"/>
      <c r="D121" s="30"/>
      <c r="E121" s="30"/>
      <c r="F121" s="30"/>
      <c r="G121" s="30"/>
      <c r="H121" s="31"/>
      <c r="I121" s="68"/>
      <c r="J121" s="69"/>
      <c r="K121" s="69"/>
      <c r="L121" s="69"/>
      <c r="M121" s="70"/>
      <c r="N121" s="50" t="s">
        <v>66</v>
      </c>
      <c r="O121" s="73"/>
      <c r="P121" s="74"/>
      <c r="Q121" s="82"/>
      <c r="R121" s="83" t="s">
        <v>67</v>
      </c>
      <c r="S121" s="73"/>
      <c r="T121" s="74"/>
      <c r="U121" s="82"/>
    </row>
    <row r="122" spans="1:21" x14ac:dyDescent="0.2">
      <c r="A122" s="32"/>
      <c r="B122" s="18"/>
      <c r="C122" s="18"/>
      <c r="D122" s="18"/>
      <c r="E122" s="18"/>
      <c r="F122" s="18"/>
      <c r="G122" s="18"/>
      <c r="H122" s="19"/>
      <c r="I122" s="71"/>
      <c r="J122" s="59"/>
      <c r="K122" s="59"/>
      <c r="L122" s="59"/>
      <c r="M122" s="58"/>
      <c r="N122" s="84" t="s">
        <v>49</v>
      </c>
      <c r="O122" s="83"/>
      <c r="P122" s="73"/>
      <c r="Q122" s="73"/>
      <c r="R122" s="73"/>
      <c r="S122" s="73"/>
      <c r="T122" s="73"/>
      <c r="U122" s="74"/>
    </row>
    <row r="123" spans="1:21" ht="15" x14ac:dyDescent="0.2">
      <c r="A123" s="35" t="s">
        <v>68</v>
      </c>
      <c r="B123" s="25"/>
      <c r="C123" s="25"/>
      <c r="D123" s="25"/>
      <c r="E123" s="25"/>
      <c r="F123" s="25"/>
      <c r="G123" s="25"/>
      <c r="H123" s="26"/>
      <c r="I123" s="37"/>
      <c r="J123" s="66"/>
      <c r="K123" s="66"/>
      <c r="L123" s="66"/>
      <c r="M123" s="67"/>
      <c r="N123" s="72"/>
      <c r="O123" s="73"/>
      <c r="P123" s="73"/>
      <c r="Q123" s="73"/>
      <c r="R123" s="73"/>
      <c r="S123" s="73"/>
      <c r="T123" s="73"/>
      <c r="U123" s="74"/>
    </row>
    <row r="124" spans="1:21" ht="15" x14ac:dyDescent="0.2">
      <c r="A124" s="36"/>
      <c r="B124" s="30"/>
      <c r="C124" s="30"/>
      <c r="D124" s="30"/>
      <c r="E124" s="30"/>
      <c r="F124" s="30"/>
      <c r="G124" s="30"/>
      <c r="H124" s="31"/>
      <c r="I124" s="68"/>
      <c r="J124" s="69"/>
      <c r="K124" s="69"/>
      <c r="L124" s="69"/>
      <c r="M124" s="70"/>
      <c r="N124" s="50" t="s">
        <v>69</v>
      </c>
      <c r="O124" s="73"/>
      <c r="P124" s="74"/>
      <c r="Q124" s="82"/>
      <c r="R124" s="83" t="s">
        <v>70</v>
      </c>
      <c r="S124" s="73"/>
      <c r="T124" s="74"/>
      <c r="U124" s="82"/>
    </row>
    <row r="125" spans="1:21" ht="15" x14ac:dyDescent="0.2">
      <c r="A125" s="36"/>
      <c r="B125" s="30"/>
      <c r="C125" s="30"/>
      <c r="D125" s="30"/>
      <c r="E125" s="30"/>
      <c r="F125" s="30"/>
      <c r="G125" s="30"/>
      <c r="H125" s="31"/>
      <c r="I125" s="68"/>
      <c r="J125" s="69"/>
      <c r="K125" s="69"/>
      <c r="L125" s="69"/>
      <c r="M125" s="70"/>
      <c r="N125" s="50" t="s">
        <v>64</v>
      </c>
      <c r="O125" s="73"/>
      <c r="P125" s="74"/>
      <c r="Q125" s="82"/>
      <c r="R125" s="83" t="s">
        <v>71</v>
      </c>
      <c r="S125" s="73"/>
      <c r="T125" s="74"/>
      <c r="U125" s="82"/>
    </row>
    <row r="126" spans="1:21" ht="15" x14ac:dyDescent="0.2">
      <c r="A126" s="36"/>
      <c r="B126" s="30"/>
      <c r="C126" s="30"/>
      <c r="D126" s="30"/>
      <c r="E126" s="30"/>
      <c r="F126" s="30"/>
      <c r="G126" s="30"/>
      <c r="H126" s="31"/>
      <c r="I126" s="68"/>
      <c r="J126" s="69"/>
      <c r="K126" s="69"/>
      <c r="L126" s="69"/>
      <c r="M126" s="70"/>
      <c r="N126" s="50" t="s">
        <v>72</v>
      </c>
      <c r="O126" s="73"/>
      <c r="P126" s="74"/>
      <c r="Q126" s="82"/>
      <c r="R126" s="83" t="s">
        <v>73</v>
      </c>
      <c r="S126" s="73"/>
      <c r="T126" s="74"/>
      <c r="U126" s="82"/>
    </row>
    <row r="127" spans="1:21" ht="15" x14ac:dyDescent="0.2">
      <c r="A127" s="36"/>
      <c r="B127" s="30"/>
      <c r="C127" s="30"/>
      <c r="D127" s="30"/>
      <c r="E127" s="30"/>
      <c r="F127" s="30"/>
      <c r="G127" s="30"/>
      <c r="H127" s="31"/>
      <c r="I127" s="68"/>
      <c r="J127" s="69"/>
      <c r="K127" s="69"/>
      <c r="L127" s="69"/>
      <c r="M127" s="70"/>
      <c r="N127" s="50" t="s">
        <v>74</v>
      </c>
      <c r="O127" s="73"/>
      <c r="P127" s="73"/>
      <c r="Q127" s="73"/>
      <c r="R127" s="73"/>
      <c r="S127" s="73"/>
      <c r="T127" s="74"/>
      <c r="U127" s="82"/>
    </row>
    <row r="128" spans="1:21" x14ac:dyDescent="0.2">
      <c r="A128" s="32"/>
      <c r="B128" s="18"/>
      <c r="C128" s="18"/>
      <c r="D128" s="18"/>
      <c r="E128" s="18"/>
      <c r="F128" s="18"/>
      <c r="G128" s="18"/>
      <c r="H128" s="19"/>
      <c r="I128" s="71"/>
      <c r="J128" s="59"/>
      <c r="K128" s="59"/>
      <c r="L128" s="59"/>
      <c r="M128" s="58"/>
      <c r="N128" s="84" t="s">
        <v>49</v>
      </c>
      <c r="O128" s="83"/>
      <c r="P128" s="73"/>
      <c r="Q128" s="73"/>
      <c r="R128" s="73"/>
      <c r="S128" s="73"/>
      <c r="T128" s="73"/>
      <c r="U128" s="74"/>
    </row>
    <row r="129" spans="1:21" ht="15" x14ac:dyDescent="0.2">
      <c r="A129" s="35" t="s">
        <v>75</v>
      </c>
      <c r="B129" s="25"/>
      <c r="C129" s="25"/>
      <c r="D129" s="25"/>
      <c r="E129" s="25"/>
      <c r="F129" s="25"/>
      <c r="G129" s="25"/>
      <c r="H129" s="26"/>
      <c r="I129" s="37"/>
      <c r="J129" s="66"/>
      <c r="K129" s="66"/>
      <c r="L129" s="66"/>
      <c r="M129" s="67"/>
      <c r="N129" s="72"/>
      <c r="O129" s="73"/>
      <c r="P129" s="73"/>
      <c r="Q129" s="73"/>
      <c r="R129" s="73"/>
      <c r="S129" s="73"/>
      <c r="T129" s="73"/>
      <c r="U129" s="74"/>
    </row>
    <row r="130" spans="1:21" ht="15" x14ac:dyDescent="0.2">
      <c r="A130" s="36"/>
      <c r="B130" s="30"/>
      <c r="C130" s="30"/>
      <c r="D130" s="30"/>
      <c r="E130" s="30"/>
      <c r="F130" s="30"/>
      <c r="G130" s="30"/>
      <c r="H130" s="31"/>
      <c r="I130" s="68"/>
      <c r="J130" s="69"/>
      <c r="K130" s="69"/>
      <c r="L130" s="69"/>
      <c r="M130" s="70"/>
      <c r="N130" s="50" t="s">
        <v>76</v>
      </c>
      <c r="O130" s="73"/>
      <c r="P130" s="74"/>
      <c r="Q130" s="82"/>
      <c r="R130" s="83" t="s">
        <v>77</v>
      </c>
      <c r="S130" s="73"/>
      <c r="T130" s="74"/>
      <c r="U130" s="82"/>
    </row>
    <row r="131" spans="1:21" ht="15" x14ac:dyDescent="0.2">
      <c r="A131" s="36"/>
      <c r="B131" s="30"/>
      <c r="C131" s="30"/>
      <c r="D131" s="30"/>
      <c r="E131" s="30"/>
      <c r="F131" s="30"/>
      <c r="G131" s="30"/>
      <c r="H131" s="31"/>
      <c r="I131" s="68"/>
      <c r="J131" s="69"/>
      <c r="K131" s="69"/>
      <c r="L131" s="69"/>
      <c r="M131" s="70"/>
      <c r="N131" s="50" t="s">
        <v>78</v>
      </c>
      <c r="O131" s="73"/>
      <c r="P131" s="74"/>
      <c r="Q131" s="82"/>
      <c r="R131" s="83" t="s">
        <v>79</v>
      </c>
      <c r="S131" s="73"/>
      <c r="T131" s="74"/>
      <c r="U131" s="82"/>
    </row>
    <row r="132" spans="1:21" ht="15" x14ac:dyDescent="0.2">
      <c r="A132" s="36"/>
      <c r="B132" s="30"/>
      <c r="C132" s="30"/>
      <c r="D132" s="30"/>
      <c r="E132" s="30"/>
      <c r="F132" s="30"/>
      <c r="G132" s="30"/>
      <c r="H132" s="31"/>
      <c r="I132" s="68"/>
      <c r="J132" s="69"/>
      <c r="K132" s="69"/>
      <c r="L132" s="69"/>
      <c r="M132" s="70"/>
      <c r="N132" s="50" t="s">
        <v>80</v>
      </c>
      <c r="O132" s="73"/>
      <c r="P132" s="73"/>
      <c r="Q132" s="73"/>
      <c r="R132" s="73"/>
      <c r="S132" s="73"/>
      <c r="T132" s="74"/>
      <c r="U132" s="82"/>
    </row>
    <row r="133" spans="1:21" x14ac:dyDescent="0.2">
      <c r="A133" s="32"/>
      <c r="B133" s="18"/>
      <c r="C133" s="18"/>
      <c r="D133" s="18"/>
      <c r="E133" s="18"/>
      <c r="F133" s="18"/>
      <c r="G133" s="18"/>
      <c r="H133" s="19"/>
      <c r="I133" s="71"/>
      <c r="J133" s="59"/>
      <c r="K133" s="59"/>
      <c r="L133" s="59"/>
      <c r="M133" s="58"/>
      <c r="N133" s="84" t="s">
        <v>49</v>
      </c>
      <c r="O133" s="83"/>
      <c r="P133" s="73"/>
      <c r="Q133" s="73"/>
      <c r="R133" s="73"/>
      <c r="S133" s="73"/>
      <c r="T133" s="73"/>
      <c r="U133" s="74"/>
    </row>
    <row r="134" spans="1:21" ht="15" x14ac:dyDescent="0.2">
      <c r="A134" s="35" t="s">
        <v>81</v>
      </c>
      <c r="B134" s="25"/>
      <c r="C134" s="25"/>
      <c r="D134" s="25"/>
      <c r="E134" s="25"/>
      <c r="F134" s="25"/>
      <c r="G134" s="25"/>
      <c r="H134" s="26"/>
      <c r="I134" s="37"/>
      <c r="J134" s="66"/>
      <c r="K134" s="66"/>
      <c r="L134" s="66"/>
      <c r="M134" s="67"/>
      <c r="N134" s="72"/>
      <c r="O134" s="73"/>
      <c r="P134" s="73"/>
      <c r="Q134" s="73"/>
      <c r="R134" s="73"/>
      <c r="S134" s="73"/>
      <c r="T134" s="73"/>
      <c r="U134" s="74"/>
    </row>
    <row r="135" spans="1:21" ht="15" x14ac:dyDescent="0.2">
      <c r="A135" s="36"/>
      <c r="B135" s="30"/>
      <c r="C135" s="30"/>
      <c r="D135" s="30"/>
      <c r="E135" s="30"/>
      <c r="F135" s="30"/>
      <c r="G135" s="30"/>
      <c r="H135" s="31"/>
      <c r="I135" s="68"/>
      <c r="J135" s="69"/>
      <c r="K135" s="69"/>
      <c r="L135" s="69"/>
      <c r="M135" s="70"/>
      <c r="N135" s="50" t="s">
        <v>82</v>
      </c>
      <c r="O135" s="73"/>
      <c r="P135" s="74"/>
      <c r="Q135" s="82"/>
      <c r="R135" s="83" t="s">
        <v>83</v>
      </c>
      <c r="S135" s="73"/>
      <c r="T135" s="74"/>
      <c r="U135" s="82"/>
    </row>
    <row r="136" spans="1:21" ht="15" x14ac:dyDescent="0.2">
      <c r="A136" s="36"/>
      <c r="B136" s="30"/>
      <c r="C136" s="30"/>
      <c r="D136" s="30"/>
      <c r="E136" s="30"/>
      <c r="F136" s="30"/>
      <c r="G136" s="30"/>
      <c r="H136" s="31"/>
      <c r="I136" s="68"/>
      <c r="J136" s="69"/>
      <c r="K136" s="69"/>
      <c r="L136" s="69"/>
      <c r="M136" s="70"/>
      <c r="N136" s="50" t="s">
        <v>84</v>
      </c>
      <c r="O136" s="73"/>
      <c r="P136" s="74"/>
      <c r="Q136" s="82"/>
      <c r="R136" s="83" t="s">
        <v>85</v>
      </c>
      <c r="S136" s="73"/>
      <c r="T136" s="74"/>
      <c r="U136" s="82"/>
    </row>
    <row r="137" spans="1:21" x14ac:dyDescent="0.2">
      <c r="A137" s="32"/>
      <c r="B137" s="18"/>
      <c r="C137" s="18"/>
      <c r="D137" s="18"/>
      <c r="E137" s="18"/>
      <c r="F137" s="18"/>
      <c r="G137" s="18"/>
      <c r="H137" s="19"/>
      <c r="I137" s="71"/>
      <c r="J137" s="59"/>
      <c r="K137" s="59"/>
      <c r="L137" s="59"/>
      <c r="M137" s="58"/>
      <c r="N137" s="84" t="s">
        <v>49</v>
      </c>
      <c r="O137" s="83"/>
      <c r="P137" s="73"/>
      <c r="Q137" s="73"/>
      <c r="R137" s="73"/>
      <c r="S137" s="73"/>
      <c r="T137" s="73"/>
      <c r="U137" s="74"/>
    </row>
    <row r="138" spans="1:21" ht="15" x14ac:dyDescent="0.2">
      <c r="A138" s="23" t="s">
        <v>88</v>
      </c>
      <c r="B138" s="21"/>
      <c r="C138" s="21"/>
      <c r="D138" s="21"/>
      <c r="E138" s="21"/>
      <c r="F138" s="21"/>
      <c r="G138" s="21"/>
      <c r="H138" s="21"/>
      <c r="I138" s="21"/>
      <c r="J138" s="21"/>
      <c r="K138" s="21"/>
      <c r="L138" s="21"/>
      <c r="M138" s="21"/>
      <c r="N138" s="21"/>
      <c r="O138" s="21"/>
      <c r="P138" s="21"/>
      <c r="Q138" s="21"/>
      <c r="R138" s="21"/>
      <c r="S138" s="21"/>
      <c r="T138" s="21"/>
      <c r="U138" s="22"/>
    </row>
    <row r="139" spans="1:21" ht="111.75" customHeight="1" x14ac:dyDescent="0.2">
      <c r="A139" s="24"/>
      <c r="B139" s="25"/>
      <c r="C139" s="25"/>
      <c r="D139" s="25"/>
      <c r="E139" s="25"/>
      <c r="F139" s="25"/>
      <c r="G139" s="25"/>
      <c r="H139" s="25"/>
      <c r="I139" s="25"/>
      <c r="J139" s="25"/>
      <c r="K139" s="25"/>
      <c r="L139" s="25"/>
      <c r="M139" s="25"/>
      <c r="N139" s="25"/>
      <c r="O139" s="25"/>
      <c r="P139" s="25"/>
      <c r="Q139" s="25"/>
      <c r="R139" s="25"/>
      <c r="S139" s="25"/>
      <c r="T139" s="25"/>
      <c r="U139" s="26"/>
    </row>
    <row r="140" spans="1:21" ht="40.5" customHeight="1" x14ac:dyDescent="0.2">
      <c r="A140" s="27" t="s">
        <v>89</v>
      </c>
      <c r="B140" s="21"/>
      <c r="C140" s="21"/>
      <c r="D140" s="21"/>
      <c r="E140" s="21"/>
      <c r="F140" s="21"/>
      <c r="G140" s="21"/>
      <c r="H140" s="21"/>
      <c r="I140" s="21"/>
      <c r="J140" s="21"/>
      <c r="K140" s="21"/>
      <c r="L140" s="21"/>
      <c r="M140" s="21"/>
      <c r="N140" s="21"/>
      <c r="O140" s="21"/>
      <c r="P140" s="21"/>
      <c r="Q140" s="21"/>
      <c r="R140" s="21"/>
      <c r="S140" s="21"/>
      <c r="T140" s="21"/>
      <c r="U140" s="22"/>
    </row>
    <row r="141" spans="1:21" ht="125.25" customHeight="1" x14ac:dyDescent="0.2">
      <c r="A141" s="28" t="s">
        <v>90</v>
      </c>
      <c r="B141" s="21"/>
      <c r="C141" s="21"/>
      <c r="D141" s="21"/>
      <c r="E141" s="21"/>
      <c r="F141" s="21"/>
      <c r="G141" s="21"/>
      <c r="H141" s="21"/>
      <c r="I141" s="21"/>
      <c r="J141" s="21"/>
      <c r="K141" s="21"/>
      <c r="L141" s="21"/>
      <c r="M141" s="21"/>
      <c r="N141" s="21"/>
      <c r="O141" s="21"/>
      <c r="P141" s="21"/>
      <c r="Q141" s="21"/>
      <c r="R141" s="21"/>
      <c r="S141" s="21"/>
      <c r="T141" s="21"/>
      <c r="U141" s="22"/>
    </row>
    <row r="142" spans="1:21" ht="69.75" customHeight="1" x14ac:dyDescent="0.2">
      <c r="A142" s="29" t="s">
        <v>91</v>
      </c>
      <c r="B142" s="30"/>
      <c r="C142" s="30"/>
      <c r="D142" s="30"/>
      <c r="E142" s="30"/>
      <c r="F142" s="30"/>
      <c r="G142" s="30"/>
      <c r="H142" s="30"/>
      <c r="I142" s="30"/>
      <c r="J142" s="30"/>
      <c r="K142" s="30"/>
      <c r="L142" s="30"/>
      <c r="M142" s="30"/>
      <c r="N142" s="30"/>
      <c r="O142" s="30"/>
      <c r="P142" s="30"/>
      <c r="Q142" s="30"/>
      <c r="R142" s="30"/>
      <c r="S142" s="30"/>
      <c r="T142" s="30"/>
      <c r="U142" s="31"/>
    </row>
    <row r="143" spans="1:21" ht="15" x14ac:dyDescent="0.2">
      <c r="A143" s="32"/>
      <c r="B143" s="18"/>
      <c r="C143" s="18"/>
      <c r="D143" s="18"/>
      <c r="E143" s="18"/>
      <c r="F143" s="18"/>
      <c r="G143" s="18"/>
      <c r="H143" s="18"/>
      <c r="I143" s="18"/>
      <c r="J143" s="18"/>
      <c r="K143" s="18"/>
      <c r="L143" s="18"/>
      <c r="M143" s="18"/>
      <c r="N143" s="18"/>
      <c r="O143" s="18"/>
      <c r="P143" s="18"/>
      <c r="Q143" s="18"/>
      <c r="R143" s="18"/>
      <c r="S143" s="18"/>
      <c r="T143" s="18"/>
      <c r="U143" s="19"/>
    </row>
    <row r="144" spans="1:21" ht="15" x14ac:dyDescent="0.2">
      <c r="A144" s="33" t="s">
        <v>92</v>
      </c>
      <c r="B144" s="18"/>
      <c r="C144" s="18"/>
      <c r="D144" s="18"/>
      <c r="E144" s="18"/>
      <c r="F144" s="18"/>
      <c r="G144" s="18"/>
      <c r="H144" s="18"/>
      <c r="I144" s="18"/>
      <c r="J144" s="18"/>
      <c r="K144" s="18"/>
      <c r="L144" s="18"/>
      <c r="M144" s="18"/>
      <c r="N144" s="18"/>
      <c r="O144" s="18"/>
      <c r="P144" s="18"/>
      <c r="Q144" s="18"/>
      <c r="R144" s="18"/>
      <c r="S144" s="18"/>
      <c r="T144" s="18"/>
      <c r="U144" s="19"/>
    </row>
    <row r="145" spans="1:21" ht="15" x14ac:dyDescent="0.2">
      <c r="A145" s="34" t="s">
        <v>93</v>
      </c>
      <c r="B145" s="21"/>
      <c r="C145" s="21"/>
      <c r="D145" s="22"/>
      <c r="E145" s="49"/>
      <c r="F145" s="56"/>
      <c r="G145" s="56"/>
      <c r="H145" s="56"/>
      <c r="I145" s="56"/>
      <c r="J145" s="56"/>
      <c r="K145" s="57"/>
      <c r="L145" s="11" t="s">
        <v>17</v>
      </c>
      <c r="M145" s="49"/>
      <c r="N145" s="56"/>
      <c r="O145" s="56"/>
      <c r="P145" s="56"/>
      <c r="Q145" s="56"/>
      <c r="R145" s="56"/>
      <c r="S145" s="56"/>
      <c r="T145" s="56"/>
      <c r="U145" s="57"/>
    </row>
    <row r="146" spans="1:21" ht="15" x14ac:dyDescent="0.2">
      <c r="A146" s="34" t="s">
        <v>93</v>
      </c>
      <c r="B146" s="21"/>
      <c r="C146" s="21"/>
      <c r="D146" s="22"/>
      <c r="E146" s="49"/>
      <c r="F146" s="56"/>
      <c r="G146" s="56"/>
      <c r="H146" s="56"/>
      <c r="I146" s="56"/>
      <c r="J146" s="56"/>
      <c r="K146" s="57"/>
      <c r="L146" s="11" t="s">
        <v>17</v>
      </c>
      <c r="M146" s="49"/>
      <c r="N146" s="56"/>
      <c r="O146" s="56"/>
      <c r="P146" s="56"/>
      <c r="Q146" s="56"/>
      <c r="R146" s="56"/>
      <c r="S146" s="56"/>
      <c r="T146" s="56"/>
      <c r="U146" s="57"/>
    </row>
    <row r="147" spans="1:21" ht="15" x14ac:dyDescent="0.2">
      <c r="A147" s="20" t="s">
        <v>94</v>
      </c>
      <c r="B147" s="21"/>
      <c r="C147" s="21"/>
      <c r="D147" s="21"/>
      <c r="E147" s="21"/>
      <c r="F147" s="21"/>
      <c r="G147" s="21"/>
      <c r="H147" s="21"/>
      <c r="I147" s="21"/>
      <c r="J147" s="21"/>
      <c r="K147" s="21"/>
      <c r="L147" s="21"/>
      <c r="M147" s="21"/>
      <c r="N147" s="21"/>
      <c r="O147" s="21"/>
      <c r="P147" s="21"/>
      <c r="Q147" s="21"/>
      <c r="R147" s="21"/>
      <c r="S147" s="21"/>
      <c r="T147" s="21"/>
      <c r="U147" s="22"/>
    </row>
  </sheetData>
  <mergeCells count="311">
    <mergeCell ref="H18:J18"/>
    <mergeCell ref="L18:N18"/>
    <mergeCell ref="A16:U16"/>
    <mergeCell ref="A17:J17"/>
    <mergeCell ref="K17:N17"/>
    <mergeCell ref="O17:Q18"/>
    <mergeCell ref="R17:U18"/>
    <mergeCell ref="A18:B18"/>
    <mergeCell ref="C18:G18"/>
    <mergeCell ref="K20:M20"/>
    <mergeCell ref="N20:R20"/>
    <mergeCell ref="A19:B19"/>
    <mergeCell ref="C19:G19"/>
    <mergeCell ref="H19:J19"/>
    <mergeCell ref="L19:N19"/>
    <mergeCell ref="O19:Q19"/>
    <mergeCell ref="R19:U19"/>
    <mergeCell ref="A20:E20"/>
    <mergeCell ref="S20:U20"/>
    <mergeCell ref="F20:H20"/>
    <mergeCell ref="I20:J20"/>
    <mergeCell ref="F21:H21"/>
    <mergeCell ref="I21:J21"/>
    <mergeCell ref="K21:M21"/>
    <mergeCell ref="N21:R21"/>
    <mergeCell ref="S21:U21"/>
    <mergeCell ref="A21:E21"/>
    <mergeCell ref="A22:F22"/>
    <mergeCell ref="G22:I22"/>
    <mergeCell ref="J22:K22"/>
    <mergeCell ref="L22:N22"/>
    <mergeCell ref="O22:Q22"/>
    <mergeCell ref="R22:U22"/>
    <mergeCell ref="I26:M26"/>
    <mergeCell ref="N26:U26"/>
    <mergeCell ref="A23:H23"/>
    <mergeCell ref="I23:K23"/>
    <mergeCell ref="L23:P23"/>
    <mergeCell ref="Q23:U23"/>
    <mergeCell ref="A24:U24"/>
    <mergeCell ref="A25:U25"/>
    <mergeCell ref="A26:H26"/>
    <mergeCell ref="L7:M7"/>
    <mergeCell ref="N7:U7"/>
    <mergeCell ref="A1:F4"/>
    <mergeCell ref="G1:S4"/>
    <mergeCell ref="T4:U4"/>
    <mergeCell ref="A5:U5"/>
    <mergeCell ref="A6:U6"/>
    <mergeCell ref="A7:E7"/>
    <mergeCell ref="F7:K7"/>
    <mergeCell ref="A8:E8"/>
    <mergeCell ref="F8:K8"/>
    <mergeCell ref="L8:M8"/>
    <mergeCell ref="N8:U8"/>
    <mergeCell ref="F9:K9"/>
    <mergeCell ref="L9:M9"/>
    <mergeCell ref="N9:U9"/>
    <mergeCell ref="L11:M11"/>
    <mergeCell ref="N11:U11"/>
    <mergeCell ref="A9:E9"/>
    <mergeCell ref="A10:E10"/>
    <mergeCell ref="F10:K10"/>
    <mergeCell ref="L10:M10"/>
    <mergeCell ref="N10:U10"/>
    <mergeCell ref="A11:E11"/>
    <mergeCell ref="F11:K11"/>
    <mergeCell ref="A12:E12"/>
    <mergeCell ref="F12:K12"/>
    <mergeCell ref="L12:M12"/>
    <mergeCell ref="N12:U12"/>
    <mergeCell ref="A13:U13"/>
    <mergeCell ref="A14:U14"/>
    <mergeCell ref="A15:U15"/>
    <mergeCell ref="N35:U35"/>
    <mergeCell ref="O36:U36"/>
    <mergeCell ref="A32:H33"/>
    <mergeCell ref="I32:M33"/>
    <mergeCell ref="N32:U32"/>
    <mergeCell ref="O33:U33"/>
    <mergeCell ref="I34:M36"/>
    <mergeCell ref="N34:U34"/>
    <mergeCell ref="N30:U30"/>
    <mergeCell ref="O31:U31"/>
    <mergeCell ref="A27:H29"/>
    <mergeCell ref="I27:M29"/>
    <mergeCell ref="N27:U27"/>
    <mergeCell ref="N28:U28"/>
    <mergeCell ref="O29:U29"/>
    <mergeCell ref="A30:H31"/>
    <mergeCell ref="I30:M31"/>
    <mergeCell ref="R58:T58"/>
    <mergeCell ref="R59:T59"/>
    <mergeCell ref="N53:U53"/>
    <mergeCell ref="O54:U54"/>
    <mergeCell ref="N55:U55"/>
    <mergeCell ref="O56:U56"/>
    <mergeCell ref="N57:U57"/>
    <mergeCell ref="N58:P58"/>
    <mergeCell ref="N59:P59"/>
    <mergeCell ref="I57:M61"/>
    <mergeCell ref="I62:M67"/>
    <mergeCell ref="N63:P63"/>
    <mergeCell ref="N64:P64"/>
    <mergeCell ref="N65:P65"/>
    <mergeCell ref="I42:M44"/>
    <mergeCell ref="I45:M48"/>
    <mergeCell ref="I49:M50"/>
    <mergeCell ref="I51:M52"/>
    <mergeCell ref="I53:M54"/>
    <mergeCell ref="I55:M56"/>
    <mergeCell ref="N60:P60"/>
    <mergeCell ref="O44:U44"/>
    <mergeCell ref="N45:U45"/>
    <mergeCell ref="N46:U46"/>
    <mergeCell ref="N47:U47"/>
    <mergeCell ref="O48:U48"/>
    <mergeCell ref="N49:U49"/>
    <mergeCell ref="O50:U50"/>
    <mergeCell ref="N51:U52"/>
    <mergeCell ref="R60:T60"/>
    <mergeCell ref="O61:U61"/>
    <mergeCell ref="N62:U62"/>
    <mergeCell ref="R63:T63"/>
    <mergeCell ref="O72:U72"/>
    <mergeCell ref="N73:U73"/>
    <mergeCell ref="O67:U67"/>
    <mergeCell ref="N68:U68"/>
    <mergeCell ref="N69:P69"/>
    <mergeCell ref="R69:T69"/>
    <mergeCell ref="N70:P70"/>
    <mergeCell ref="R70:T70"/>
    <mergeCell ref="N71:T71"/>
    <mergeCell ref="A53:H54"/>
    <mergeCell ref="A55:H56"/>
    <mergeCell ref="A57:H61"/>
    <mergeCell ref="A62:H67"/>
    <mergeCell ref="A68:H72"/>
    <mergeCell ref="I68:M72"/>
    <mergeCell ref="A73:H76"/>
    <mergeCell ref="I73:M76"/>
    <mergeCell ref="A34:H36"/>
    <mergeCell ref="A38:H38"/>
    <mergeCell ref="A39:H41"/>
    <mergeCell ref="A42:H44"/>
    <mergeCell ref="A45:H48"/>
    <mergeCell ref="A49:H50"/>
    <mergeCell ref="A51:H52"/>
    <mergeCell ref="A37:U37"/>
    <mergeCell ref="N42:U42"/>
    <mergeCell ref="N43:U43"/>
    <mergeCell ref="I38:M38"/>
    <mergeCell ref="N38:U38"/>
    <mergeCell ref="I39:M41"/>
    <mergeCell ref="N39:U39"/>
    <mergeCell ref="N40:U40"/>
    <mergeCell ref="O41:U41"/>
    <mergeCell ref="R64:T64"/>
    <mergeCell ref="R65:T65"/>
    <mergeCell ref="N66:T66"/>
    <mergeCell ref="A83:F83"/>
    <mergeCell ref="A84:H84"/>
    <mergeCell ref="I84:K84"/>
    <mergeCell ref="L84:P84"/>
    <mergeCell ref="Q84:U84"/>
    <mergeCell ref="A85:U85"/>
    <mergeCell ref="L80:N80"/>
    <mergeCell ref="O80:Q80"/>
    <mergeCell ref="R80:U80"/>
    <mergeCell ref="A81:E81"/>
    <mergeCell ref="S81:U81"/>
    <mergeCell ref="G83:I83"/>
    <mergeCell ref="J83:K83"/>
    <mergeCell ref="O83:Q83"/>
    <mergeCell ref="R83:U83"/>
    <mergeCell ref="F81:H81"/>
    <mergeCell ref="I81:J81"/>
    <mergeCell ref="A82:E82"/>
    <mergeCell ref="F82:H82"/>
    <mergeCell ref="I82:J82"/>
    <mergeCell ref="K82:M82"/>
    <mergeCell ref="A88:H90"/>
    <mergeCell ref="A91:H92"/>
    <mergeCell ref="I91:M92"/>
    <mergeCell ref="N91:U91"/>
    <mergeCell ref="O92:U92"/>
    <mergeCell ref="A93:H94"/>
    <mergeCell ref="I93:M94"/>
    <mergeCell ref="I99:M99"/>
    <mergeCell ref="N99:U99"/>
    <mergeCell ref="A95:H97"/>
    <mergeCell ref="I95:M97"/>
    <mergeCell ref="N95:U95"/>
    <mergeCell ref="N96:U96"/>
    <mergeCell ref="O97:U97"/>
    <mergeCell ref="A98:U98"/>
    <mergeCell ref="A99:H99"/>
    <mergeCell ref="I88:M90"/>
    <mergeCell ref="N88:U88"/>
    <mergeCell ref="N89:U89"/>
    <mergeCell ref="O90:U90"/>
    <mergeCell ref="N93:U93"/>
    <mergeCell ref="A100:H102"/>
    <mergeCell ref="I100:M102"/>
    <mergeCell ref="N100:U100"/>
    <mergeCell ref="N101:U101"/>
    <mergeCell ref="O102:U102"/>
    <mergeCell ref="I103:M105"/>
    <mergeCell ref="O105:U105"/>
    <mergeCell ref="A103:H105"/>
    <mergeCell ref="O94:U94"/>
    <mergeCell ref="A106:H109"/>
    <mergeCell ref="I106:M109"/>
    <mergeCell ref="N106:U106"/>
    <mergeCell ref="N107:U107"/>
    <mergeCell ref="N108:U108"/>
    <mergeCell ref="O109:U109"/>
    <mergeCell ref="A110:H111"/>
    <mergeCell ref="I110:M111"/>
    <mergeCell ref="N110:U110"/>
    <mergeCell ref="O111:U111"/>
    <mergeCell ref="A112:H113"/>
    <mergeCell ref="I112:M113"/>
    <mergeCell ref="N112:U113"/>
    <mergeCell ref="N74:P74"/>
    <mergeCell ref="R74:T74"/>
    <mergeCell ref="N75:P75"/>
    <mergeCell ref="R75:T75"/>
    <mergeCell ref="O76:U76"/>
    <mergeCell ref="A77:U77"/>
    <mergeCell ref="A78:J78"/>
    <mergeCell ref="K78:N78"/>
    <mergeCell ref="O78:Q79"/>
    <mergeCell ref="R78:U79"/>
    <mergeCell ref="A79:B79"/>
    <mergeCell ref="C79:G79"/>
    <mergeCell ref="H79:J79"/>
    <mergeCell ref="L79:N79"/>
    <mergeCell ref="K81:M81"/>
    <mergeCell ref="N81:R81"/>
    <mergeCell ref="N82:R82"/>
    <mergeCell ref="S82:U82"/>
    <mergeCell ref="A80:B80"/>
    <mergeCell ref="C80:G80"/>
    <mergeCell ref="H80:J80"/>
    <mergeCell ref="L83:N83"/>
    <mergeCell ref="N118:U118"/>
    <mergeCell ref="N119:P119"/>
    <mergeCell ref="O133:U133"/>
    <mergeCell ref="N134:U134"/>
    <mergeCell ref="N135:P135"/>
    <mergeCell ref="R135:T135"/>
    <mergeCell ref="N136:P136"/>
    <mergeCell ref="R136:T136"/>
    <mergeCell ref="N125:P125"/>
    <mergeCell ref="R125:T125"/>
    <mergeCell ref="N126:P126"/>
    <mergeCell ref="R126:T126"/>
    <mergeCell ref="N127:T127"/>
    <mergeCell ref="N103:U103"/>
    <mergeCell ref="N104:U104"/>
    <mergeCell ref="A86:U86"/>
    <mergeCell ref="A87:H87"/>
    <mergeCell ref="I87:M87"/>
    <mergeCell ref="N87:U87"/>
    <mergeCell ref="A129:H133"/>
    <mergeCell ref="I129:M133"/>
    <mergeCell ref="O128:U128"/>
    <mergeCell ref="N129:U129"/>
    <mergeCell ref="N121:P121"/>
    <mergeCell ref="R121:T121"/>
    <mergeCell ref="O122:U122"/>
    <mergeCell ref="N123:U123"/>
    <mergeCell ref="N124:P124"/>
    <mergeCell ref="R124:T124"/>
    <mergeCell ref="A116:H117"/>
    <mergeCell ref="A118:H122"/>
    <mergeCell ref="I118:M122"/>
    <mergeCell ref="A123:H128"/>
    <mergeCell ref="I123:M128"/>
    <mergeCell ref="A114:H115"/>
    <mergeCell ref="I114:M115"/>
    <mergeCell ref="N114:U114"/>
    <mergeCell ref="O115:U115"/>
    <mergeCell ref="I116:M117"/>
    <mergeCell ref="N116:U116"/>
    <mergeCell ref="O117:U117"/>
    <mergeCell ref="R119:T119"/>
    <mergeCell ref="N120:P120"/>
    <mergeCell ref="R120:T120"/>
    <mergeCell ref="N130:P130"/>
    <mergeCell ref="R130:T130"/>
    <mergeCell ref="N131:P131"/>
    <mergeCell ref="R131:T131"/>
    <mergeCell ref="N132:T132"/>
    <mergeCell ref="A147:U147"/>
    <mergeCell ref="A138:U138"/>
    <mergeCell ref="A139:U139"/>
    <mergeCell ref="A140:U140"/>
    <mergeCell ref="A141:U141"/>
    <mergeCell ref="A142:U143"/>
    <mergeCell ref="A144:U144"/>
    <mergeCell ref="A145:D145"/>
    <mergeCell ref="E145:K145"/>
    <mergeCell ref="M145:U145"/>
    <mergeCell ref="A146:D146"/>
    <mergeCell ref="E146:K146"/>
    <mergeCell ref="M146:U146"/>
    <mergeCell ref="O137:U137"/>
    <mergeCell ref="A134:H137"/>
    <mergeCell ref="I134:M137"/>
  </mergeCells>
  <conditionalFormatting sqref="I27:J36 J38:J43 I38:I44 I88:J97 J99:J104 I99:I105">
    <cfRule type="notContainsBlanks" dxfId="0" priority="1">
      <formula>LEN(TRIM(I27))&gt;0</formula>
    </cfRule>
  </conditionalFormatting>
  <dataValidations count="28">
    <dataValidation type="list" allowBlank="1" showErrorMessage="1" sqref="N43 N104" xr:uid="{00000000-0002-0000-0000-000000000000}">
      <formula1>"Se ubica por puntos de referencia y direcciones.,No se ubica por puntos de referencia.,Se ubica por puntos cardinales.,No aplica"</formula1>
    </dataValidation>
    <dataValidation type="list" allowBlank="1" showErrorMessage="1" sqref="Q23 Q84" xr:uid="{00000000-0002-0000-0000-000001000000}">
      <formula1>"Pensión Invalidez ,Pensión Subsidiada ,Pensión especial de vejez anticipada,Pensión para víctimas de conflicto armado,Pensión familiar,Pensión régimen especial (fuerzas militares) ,No aplica"</formula1>
    </dataValidation>
    <dataValidation type="list" allowBlank="1" showErrorMessage="1" sqref="N62 N123" xr:uid="{00000000-0002-0000-0000-000003000000}">
      <formula1>"0. No requiere apoyo en actividades instrumentales de la vida diaria. ,1. Requiere apoyo en algunas actividades instrumentales de la vida diaria. ,2. Requiere apoyo en la mayoría de actividades instrumentales de la vida diaria.,3. Requiere apoyo en todas "&amp;"las actividades instrumentales de la vida diaria.,No aplica. "</formula1>
    </dataValidation>
    <dataValidation type="list" allowBlank="1" showErrorMessage="1" sqref="N49 N110" xr:uid="{00000000-0002-0000-0000-000004000000}">
      <formula1>"0. Su código de vestuario es acorde al contexto.,1. Su código de vestuario es acorde al contexto, pero presenta oportunidades de mejora. ,2. Su código de vestuario es medianamente acorde al contexto. ,3. Su código de vestuario no es acorde al contexto.,No"&amp;" aplica."</formula1>
    </dataValidation>
    <dataValidation type="list" allowBlank="1" showErrorMessage="1" sqref="N35 N96" xr:uid="{00000000-0002-0000-0000-000005000000}">
      <formula1>"Mensual,Trimestral,Semestral,Otra frecuencia,No aplica"</formula1>
    </dataValidation>
    <dataValidation type="list" allowBlank="1" showErrorMessage="1" sqref="N68 N129" xr:uid="{00000000-0002-0000-0000-000006000000}">
      <formula1>"0. No requiere apoyo en sus actividades laborales. ,1. Requiere apoyo en algunas actividades laborales.,2. Requiere apoyo en la mayoría de actividades laborales. ,3. Requiere apoyo en todas las actividades laborales.,No aplica"</formula1>
    </dataValidation>
    <dataValidation type="list" allowBlank="1" showErrorMessage="1" sqref="N57 N118" xr:uid="{00000000-0002-0000-0000-000007000000}">
      <formula1>"0. No requiere apoyo en sus actividades de la vida diaria. ,1. Requiere apoyo en algunas actividades de la vida diaria. ,2. Requiere apoyo en la mayoría de actividades de la vida diaria. ,3. Requiere apoyo en todas las actividades de la vida diaria.,No ap"&amp;"lica."</formula1>
    </dataValidation>
    <dataValidation type="list" allowBlank="1" showErrorMessage="1" sqref="N28 N89" xr:uid="{00000000-0002-0000-0000-000008000000}">
      <formula1>"1. Conoce los horarios de toma de medicamentos que consume.,2. Es un tercero quien conoce los horarios de la toma de medicamentos.,3. No conoce los horarios de toma de medicamentos que consume.,0. No requiere apoyo. ,No aplica."</formula1>
    </dataValidation>
    <dataValidation type="list" allowBlank="1" showErrorMessage="1" sqref="R19 R80" xr:uid="{00000000-0002-0000-0000-000009000000}">
      <formula1>"Aprobado,No aprobado,Pendiente"</formula1>
    </dataValidation>
    <dataValidation type="list" allowBlank="1" showErrorMessage="1" sqref="N32 N93" xr:uid="{00000000-0002-0000-0000-00000A000000}">
      <formula1>"0. No tiene restricciones médicas,1. Tiene restricciones medicas  y conoce su manejo.,2. No conoce si tiene restricciones médicas.,3. Si tiene restricciones médicas  y desconoce su manejo. ,No aplica."</formula1>
    </dataValidation>
    <dataValidation type="list" allowBlank="1" showErrorMessage="1" sqref="N27 N88" xr:uid="{00000000-0002-0000-0000-00000B000000}">
      <formula1>"1. Conoce los medicamentos que consume.,2. Un tercero es quien conoce los medicamentos que consume ,3. No conoce los medicamentos que consume.,No aplica.,0. No requiere apoyo."</formula1>
    </dataValidation>
    <dataValidation type="list" allowBlank="1" showErrorMessage="1" sqref="N40 N101" xr:uid="{00000000-0002-0000-0000-00000C000000}">
      <formula1>"Caminando.,Bicicleta.,Transmilenio, Sitp.,Vehiculo propio.,Vehículo especial.,No aplica."</formula1>
    </dataValidation>
    <dataValidation type="list" allowBlank="1" showErrorMessage="1" sqref="N46 N107" xr:uid="{00000000-0002-0000-0000-00000D000000}">
      <formula1>"0. Reconoce y maneja  el dinero de manera autónoma.,1. Reconoce y maneja  el dinero  pero en ocasiones requiere apoyo.,2. Solo reconoce el dinero pero no lo sabe manejar.,3. No reconoce el dinero y no lo sabe manejar.,No aplica."</formula1>
    </dataValidation>
    <dataValidation type="list" allowBlank="1" showErrorMessage="1" sqref="E145" xr:uid="{00000000-0002-0000-0000-00000E000000}">
      <formula1>"Sandra Milena Pachón Rojas,Sara Zambrano,Alejandra Pérez,Lenny Lugo,Angie Díaz,Adriana Viveros,Janeth Camargo,Gabriela Rubiano Isaza,Andrés Montes,Sara Sánchez,Catalina Salazar"</formula1>
    </dataValidation>
    <dataValidation type="list" allowBlank="1" showErrorMessage="1" sqref="N34 N95" xr:uid="{00000000-0002-0000-0000-00000F000000}">
      <formula1>"No aplica.,2. Sí asiste a controles médicos con especialista.,3. No sabe si tiene controles medicos con especialista.,1. Asiste a controles médicos con especialista y conoce el manejo.,0. No requiere apoyo."</formula1>
    </dataValidation>
    <dataValidation type="list" allowBlank="1" showErrorMessage="1" sqref="N47 N108" xr:uid="{00000000-0002-0000-0000-000010000000}">
      <formula1>"Dinero fisico, plástico y digital.,Dinero físico y plastico.,Dinero físico.,Dinero plástico y digital.,Dinero plástico.,Dinero digital.,Dinero digital y físico."</formula1>
    </dataValidation>
    <dataValidation type="list" allowBlank="1" showErrorMessage="1" sqref="N39 N100" xr:uid="{00000000-0002-0000-0000-000011000000}">
      <formula1>"0. Se desplaza de manera independiente sin necesidad de apoyos . (ortesis, bastón, silla de ruedas entre otros).,1. Se desplaza de forma independiente con un apoyo temporal (órtesis, bastón, silla de ruedas entre otros).,2. Se desplaza de manera independi"&amp;"ente con un apoyo permanente  (órtesis, bastón, silla de ruedas entre otros).,3. No se desplaza de manera independiente. Requiere el  acompañamiento de un tercero y  un apoyo  (ortesis, bastón, silla de ruedas entre otros).,No aplica."</formula1>
    </dataValidation>
    <dataValidation type="list" allowBlank="1" showErrorMessage="1" sqref="N73 N134" xr:uid="{00000000-0002-0000-0000-000012000000}">
      <formula1>"0. No ha sufrido de discriminación. ,1. Ha sufrido de discriminación en algunos contextos. ,2. Ha sufrido de discriminación en repetidas ocasiones. ,3. Ha sufrido de discriminación a los largo del ciclo vital. ,No aplica. "</formula1>
    </dataValidation>
    <dataValidation type="list" allowBlank="1" showErrorMessage="1" sqref="I23 I84" xr:uid="{00000000-0002-0000-0000-000013000000}">
      <formula1>"Si,No,Por Confirmar"</formula1>
    </dataValidation>
    <dataValidation type="list" allowBlank="1" showErrorMessage="1" sqref="N30 N91" xr:uid="{00000000-0002-0000-0000-000014000000}">
      <formula1>"0. No presenta alergias. ,1. Presenta alergias  y  sabe darle manejo.,2. No conoce si presenta alguna alergia.,3. Presenta alergias a:  medicamentos, sustancias y productos quimicos, alimentos,  animales, entre otros.,No aplica."</formula1>
    </dataValidation>
    <dataValidation type="list" allowBlank="1" showErrorMessage="1" sqref="Q58:Q60 U58:U60 Q63:Q65 U63:U66 Q69:Q70 U69:U71 Q74:Q75 U74:U75 Q119:Q121 U119:U121 Q124:Q126 U124:U127 Q130:Q131 U130:U132 Q135:Q136 U135:U136" xr:uid="{00000000-0002-0000-0000-000015000000}">
      <formula1>"Si,No ,No aplica "</formula1>
    </dataValidation>
    <dataValidation type="list" allowBlank="1" showErrorMessage="1" sqref="N45 N106" xr:uid="{00000000-0002-0000-0000-000016000000}">
      <formula1>"Autónomo.,Con apoyo familiar."</formula1>
    </dataValidation>
    <dataValidation type="list" allowBlank="1" showErrorMessage="1" sqref="N53 N114" xr:uid="{00000000-0002-0000-0000-000017000000}">
      <formula1>"0. Si conoce y maneja los apoyos (Centro de relevo, entre otros).,1. Maneja algunos apoyos, pero no los conoce todos en general (Centro de relevo, entre otros).,2. Conoce pero no maneja  apoyos.,3. No conoce, ni maneja los apoyos.,No aplica."</formula1>
    </dataValidation>
    <dataValidation type="list" allowBlank="1" showErrorMessage="1" sqref="I27 I30 I32 I34 I39 I42 I45 I49 I51 I53 I55 I57 I62 I68 I73 I88 I91 I93 I95 I100 I103 I106 I110 I112 I114 I116 I118 I123 I129 I134" xr:uid="{00000000-0002-0000-0000-000018000000}">
      <formula1>"0. No requiere apoyo. ,1. Nivel de apoyo Bajo.,2. Nivel de apoyo medio. ,3. Nivel de apoyo alto. ,No aplica. "</formula1>
    </dataValidation>
    <dataValidation type="list" allowBlank="1" showErrorMessage="1" sqref="N42 N103" xr:uid="{00000000-0002-0000-0000-000019000000}">
      <formula1>"0. Sabe ubicarse en la ciudad  de manera autonoma.,1. Sabe ubicarse en la ciudad pero  haciendo uso de aplicaciones (Maps, Waze, entre otros).,2. Requiere de acompañamiento para ubicarse. ,3. No sabe ubicarse en la ciudad."</formula1>
    </dataValidation>
    <dataValidation type="list" allowBlank="1" showErrorMessage="1" sqref="L19 L80" xr:uid="{00000000-0002-0000-0000-00001A000000}">
      <formula1>"Discapacidad visual pérdida total de la visión,Discapacidad visual baja visión,Discapacidad auditiva,Discapacidad auditiva hipoacusia,Trastorno de espectro autista,Discapacidad intelectual,Discapacidad física,Discapacidad física usuario en silla de ruedas"&amp;",Discapacidad psicosocial,Discapacidad múltiple,No aplica"</formula1>
    </dataValidation>
    <dataValidation type="list" allowBlank="1" showErrorMessage="1" sqref="N55 N116" xr:uid="{00000000-0002-0000-0000-00001B000000}">
      <formula1>"0. Toma las decisiones de manera autónoma.,1.Toma decisiones pero en ocasiones  requiere el apoyo de un tercero.,2. Debe consultar con un tercero  para la toma de decisiones.,3. Requiere el apoyo de un tercero para tomar decisiones.,No aplica."</formula1>
    </dataValidation>
    <dataValidation type="list" allowBlank="1" showErrorMessage="1" sqref="N51 N112" xr:uid="{00000000-0002-0000-0000-00001C000000}">
      <formula1>"0. Si conoce y maneja los apoyos (Jaws, Magic, el lector de pantalla de Windows/IOS).,1. Maneja algunos apoyos de comunicación escrita, pero no  todos en general. ,2. Conoce pero no maneja  apoyos.,3. No conoce, ni maneja los apoyos ,No aplica."</formula1>
    </dataValidation>
  </dataValidations>
  <hyperlinks>
    <hyperlink ref="A147" r:id="rId1" xr:uid="{00000000-0004-0000-0000-000000000000}"/>
  </hyperlinks>
  <printOptions horizontalCentered="1" gridLines="1"/>
  <pageMargins left="0.7" right="0.7" top="0.75" bottom="0.75" header="0" footer="0"/>
  <pageSetup pageOrder="overThenDown" orientation="portrait" cellComments="atEnd"/>
  <drawing r:id="rId2"/>
  <extLst>
    <ext xmlns:x14="http://schemas.microsoft.com/office/spreadsheetml/2009/9/main" uri="{CCE6A557-97BC-4b89-ADB6-D9C93CAAB3DF}">
      <x14:dataValidations xmlns:xm="http://schemas.microsoft.com/office/excel/2006/main" count="1">
        <x14:dataValidation type="list" allowBlank="1" showDropDown="1" xr:uid="{00000000-0002-0000-0000-000002000000}">
          <x14:formula1>
            <xm:f>BD!$A:$A</xm:f>
          </x14:formula1>
          <xm:sqref>F8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580"/>
  <sheetViews>
    <sheetView workbookViewId="0"/>
  </sheetViews>
  <sheetFormatPr baseColWidth="10" defaultColWidth="12.5703125" defaultRowHeight="15.75" customHeight="1" x14ac:dyDescent="0.2"/>
  <cols>
    <col min="1" max="1" width="49.7109375" customWidth="1"/>
    <col min="3" max="3" width="46.7109375" customWidth="1"/>
    <col min="5" max="5" width="25.42578125" customWidth="1"/>
    <col min="6" max="6" width="30.140625" customWidth="1"/>
    <col min="12" max="12" width="24.140625" customWidth="1"/>
    <col min="13" max="13" width="20.85546875" customWidth="1"/>
    <col min="17" max="17" width="24.7109375" customWidth="1"/>
    <col min="18" max="18" width="32.5703125" customWidth="1"/>
  </cols>
  <sheetData>
    <row r="1" spans="1:26" ht="15.75" customHeight="1" x14ac:dyDescent="0.4">
      <c r="A1" s="1" t="str">
        <f ca="1">IFERROR(__xludf.DUMMYFUNCTION("IMPORTRANGE(""https://docs.google.com/spreadsheets/d/1OG8OlozND839R5savNsWzeivYu4QVdLazlWgivjPDhA/edit?gid=0#gid=0"",""$A$2:$A"")")," REDEBAN S.A")</f>
        <v xml:space="preserve"> REDEBAN S.A</v>
      </c>
      <c r="B1" s="2"/>
      <c r="C1" s="3"/>
      <c r="D1" s="2"/>
      <c r="E1" s="2"/>
      <c r="F1" s="2"/>
      <c r="G1" s="2"/>
      <c r="H1" s="2"/>
      <c r="I1" s="2"/>
      <c r="J1" s="2"/>
      <c r="K1" s="2"/>
      <c r="L1" s="2"/>
      <c r="M1" s="2"/>
      <c r="N1" s="2"/>
      <c r="O1" s="2"/>
      <c r="P1" s="2"/>
      <c r="Q1" s="4" t="s">
        <v>95</v>
      </c>
      <c r="R1" s="5"/>
      <c r="S1" s="2"/>
      <c r="T1" s="2"/>
      <c r="U1" s="2"/>
      <c r="V1" s="2"/>
      <c r="W1" s="2"/>
      <c r="X1" s="2"/>
      <c r="Y1" s="2"/>
      <c r="Z1" s="2"/>
    </row>
    <row r="2" spans="1:26" ht="12.75" x14ac:dyDescent="0.2">
      <c r="A2" s="2" t="str">
        <f ca="1">IFERROR(__xludf.DUMMYFUNCTION("""COMPUTED_VALUE"""),"SOAIN SOFTWARE ASSOCIATES S.A.S")</f>
        <v>SOAIN SOFTWARE ASSOCIATES S.A.S</v>
      </c>
      <c r="Q2" s="6" t="s">
        <v>96</v>
      </c>
      <c r="R2" s="7" t="s">
        <v>97</v>
      </c>
    </row>
    <row r="3" spans="1:26" ht="25.5" x14ac:dyDescent="0.2">
      <c r="A3" s="2" t="str">
        <f ca="1">IFERROR(__xludf.DUMMYFUNCTION("""COMPUTED_VALUE"""),"
HIRE HORATIO CO SAS")</f>
        <v xml:space="preserve">
HIRE HORATIO CO SAS</v>
      </c>
      <c r="Q3" s="6"/>
      <c r="R3" s="7" t="s">
        <v>98</v>
      </c>
    </row>
    <row r="4" spans="1:26" ht="12.75" x14ac:dyDescent="0.2">
      <c r="A4" s="2" t="str">
        <f ca="1">IFERROR(__xludf.DUMMYFUNCTION("""COMPUTED_VALUE"""),"CESVI COLOMBIA S.A. ")</f>
        <v xml:space="preserve">CESVI COLOMBIA S.A. </v>
      </c>
      <c r="Q4" s="6"/>
      <c r="R4" s="7" t="s">
        <v>99</v>
      </c>
    </row>
    <row r="5" spans="1:26" ht="38.25" x14ac:dyDescent="0.2">
      <c r="A5" s="2" t="str">
        <f ca="1">IFERROR(__xludf.DUMMYFUNCTION("""COMPUTED_VALUE"""),"
JAZZPLAT COLOMBIA S.A.S. 
")</f>
        <v xml:space="preserve">
JAZZPLAT COLOMBIA S.A.S. 
</v>
      </c>
      <c r="Q5" s="6" t="s">
        <v>100</v>
      </c>
      <c r="R5" s="7" t="s">
        <v>101</v>
      </c>
    </row>
    <row r="6" spans="1:26" ht="12.75" x14ac:dyDescent="0.2">
      <c r="A6" s="2" t="str">
        <f ca="1">IFERROR(__xludf.DUMMYFUNCTION("""COMPUTED_VALUE"""),"LICENCIAS ON LINE S A S")</f>
        <v>LICENCIAS ON LINE S A S</v>
      </c>
      <c r="Q6" s="6" t="s">
        <v>102</v>
      </c>
      <c r="R6" s="7" t="s">
        <v>103</v>
      </c>
    </row>
    <row r="7" spans="1:26" ht="25.5" x14ac:dyDescent="0.2">
      <c r="A7" s="2" t="str">
        <f ca="1">IFERROR(__xludf.DUMMYFUNCTION("""COMPUTED_VALUE""")," FEDERACION COLOMBIANA DE PRODUCTORES DE PAPA - FEDEPAPA")</f>
        <v xml:space="preserve"> FEDERACION COLOMBIANA DE PRODUCTORES DE PAPA - FEDEPAPA</v>
      </c>
      <c r="Q7" s="6" t="s">
        <v>104</v>
      </c>
      <c r="R7" s="7" t="s">
        <v>105</v>
      </c>
    </row>
    <row r="8" spans="1:26" ht="12.75" x14ac:dyDescent="0.2">
      <c r="A8" s="2" t="str">
        <f ca="1">IFERROR(__xludf.DUMMYFUNCTION("""COMPUTED_VALUE"""),"INTELLIGENT CUSTOMER ACQUISITION SAS")</f>
        <v>INTELLIGENT CUSTOMER ACQUISITION SAS</v>
      </c>
      <c r="Q8" s="6" t="s">
        <v>106</v>
      </c>
      <c r="R8" s="7" t="s">
        <v>99</v>
      </c>
    </row>
    <row r="9" spans="1:26" ht="12.75" x14ac:dyDescent="0.2">
      <c r="A9" s="2" t="str">
        <f ca="1">IFERROR(__xludf.DUMMYFUNCTION("""COMPUTED_VALUE"""),"IMBOCAR S.A.S")</f>
        <v>IMBOCAR S.A.S</v>
      </c>
      <c r="Q9" s="6" t="s">
        <v>107</v>
      </c>
      <c r="R9" s="7" t="s">
        <v>99</v>
      </c>
    </row>
    <row r="10" spans="1:26" ht="12.75" x14ac:dyDescent="0.2">
      <c r="A10" s="2" t="str">
        <f ca="1">IFERROR(__xludf.DUMMYFUNCTION("""COMPUTED_VALUE"""),"COLTANQUES S.A.S.        ")</f>
        <v xml:space="preserve">COLTANQUES S.A.S.        </v>
      </c>
      <c r="Q10" s="6" t="s">
        <v>108</v>
      </c>
      <c r="R10" s="7" t="s">
        <v>109</v>
      </c>
    </row>
    <row r="11" spans="1:26" ht="51" x14ac:dyDescent="0.2">
      <c r="A11" s="2" t="str">
        <f ca="1">IFERROR(__xludf.DUMMYFUNCTION("""COMPUTED_VALUE"""),"SOCIEDAD ADMINISTRADORA DE FONDOS DE PENSIONES, CESANTIAS Y DEL COMPONENTE COMPLEMENTARIO DE AHORRO INDIVIDUAL PORVENIR S A.")</f>
        <v>SOCIEDAD ADMINISTRADORA DE FONDOS DE PENSIONES, CESANTIAS Y DEL COMPONENTE COMPLEMENTARIO DE AHORRO INDIVIDUAL PORVENIR S A.</v>
      </c>
    </row>
    <row r="12" spans="1:26" ht="12.75" x14ac:dyDescent="0.2">
      <c r="A12" s="2" t="str">
        <f ca="1">IFERROR(__xludf.DUMMYFUNCTION("""COMPUTED_VALUE"""),"FEDERACION NACIONAL DE DEPARTAMENTOS")</f>
        <v>FEDERACION NACIONAL DE DEPARTAMENTOS</v>
      </c>
    </row>
    <row r="13" spans="1:26" ht="12.75" x14ac:dyDescent="0.2">
      <c r="A13" s="2" t="str">
        <f ca="1">IFERROR(__xludf.DUMMYFUNCTION("""COMPUTED_VALUE"""),"BACO FOODS COLOMBIA SAS")</f>
        <v>BACO FOODS COLOMBIA SAS</v>
      </c>
      <c r="I13" s="8"/>
    </row>
    <row r="14" spans="1:26" ht="12.75" x14ac:dyDescent="0.2">
      <c r="A14" s="2" t="str">
        <f ca="1">IFERROR(__xludf.DUMMYFUNCTION("""COMPUTED_VALUE"""),"KOA COMPAÑIA DE FINANCIAMIENTO S.A ")</f>
        <v xml:space="preserve">KOA COMPAÑIA DE FINANCIAMIENTO S.A </v>
      </c>
    </row>
    <row r="15" spans="1:26" ht="25.5" x14ac:dyDescent="0.2">
      <c r="A15" s="2" t="str">
        <f ca="1">IFERROR(__xludf.DUMMYFUNCTION("""COMPUTED_VALUE"""),"MEALS MERCADO DE ALIMENTOS DE COLOMBIA SAS")</f>
        <v>MEALS MERCADO DE ALIMENTOS DE COLOMBIA SAS</v>
      </c>
    </row>
    <row r="16" spans="1:26" ht="12.75" x14ac:dyDescent="0.2">
      <c r="A16" s="2" t="str">
        <f ca="1">IFERROR(__xludf.DUMMYFUNCTION("""COMPUTED_VALUE"""),"SCOTIABANK COLPATRIA")</f>
        <v>SCOTIABANK COLPATRIA</v>
      </c>
    </row>
    <row r="17" spans="1:1" ht="12.75" x14ac:dyDescent="0.2">
      <c r="A17" s="2" t="str">
        <f ca="1">IFERROR(__xludf.DUMMYFUNCTION("""COMPUTED_VALUE"""),"ALFAPEOPLE ANDINO S.A.")</f>
        <v>ALFAPEOPLE ANDINO S.A.</v>
      </c>
    </row>
    <row r="18" spans="1:1" ht="12.75" x14ac:dyDescent="0.2">
      <c r="A18" s="2" t="str">
        <f ca="1">IFERROR(__xludf.DUMMYFUNCTION("""COMPUTED_VALUE"""),"AXA COLPATRIA SEGUROS S.A.")</f>
        <v>AXA COLPATRIA SEGUROS S.A.</v>
      </c>
    </row>
    <row r="19" spans="1:1" ht="12.75" x14ac:dyDescent="0.2">
      <c r="A19" s="2" t="str">
        <f ca="1">IFERROR(__xludf.DUMMYFUNCTION("""COMPUTED_VALUE"""),"ABC DE SERVICIOS S.A.S.")</f>
        <v>ABC DE SERVICIOS S.A.S.</v>
      </c>
    </row>
    <row r="20" spans="1:1" ht="12.75" x14ac:dyDescent="0.2">
      <c r="A20" s="2" t="str">
        <f ca="1">IFERROR(__xludf.DUMMYFUNCTION("""COMPUTED_VALUE"""),"PARDO CARRIZOSA NAVAS SAS")</f>
        <v>PARDO CARRIZOSA NAVAS SAS</v>
      </c>
    </row>
    <row r="21" spans="1:1" ht="12.75" x14ac:dyDescent="0.2">
      <c r="A21" s="2" t="str">
        <f ca="1">IFERROR(__xludf.DUMMYFUNCTION("""COMPUTED_VALUE"""),"PAREX RESOURCES (COLOMBIA) AG SUCURSAL")</f>
        <v>PAREX RESOURCES (COLOMBIA) AG SUCURSAL</v>
      </c>
    </row>
    <row r="22" spans="1:1" ht="12.75" x14ac:dyDescent="0.2">
      <c r="A22" s="2" t="str">
        <f ca="1">IFERROR(__xludf.DUMMYFUNCTION("""COMPUTED_VALUE"""),"PRECISAGRO S.A.S. ")</f>
        <v xml:space="preserve">PRECISAGRO S.A.S. </v>
      </c>
    </row>
    <row r="23" spans="1:1" ht="12.75" x14ac:dyDescent="0.2">
      <c r="A23" s="2" t="str">
        <f ca="1">IFERROR(__xludf.DUMMYFUNCTION("""COMPUTED_VALUE"""),"INGREDION COLOMBIA S.A.")</f>
        <v>INGREDION COLOMBIA S.A.</v>
      </c>
    </row>
    <row r="24" spans="1:1" ht="12.75" x14ac:dyDescent="0.2">
      <c r="A24" s="2" t="str">
        <f ca="1">IFERROR(__xludf.DUMMYFUNCTION("""COMPUTED_VALUE"""),"BIOMAX BIOCOMBUSTIBLES S.A. ")</f>
        <v xml:space="preserve">BIOMAX BIOCOMBUSTIBLES S.A. </v>
      </c>
    </row>
    <row r="25" spans="1:1" ht="12.75" x14ac:dyDescent="0.2">
      <c r="A25" s="2" t="str">
        <f ca="1">IFERROR(__xludf.DUMMYFUNCTION("""COMPUTED_VALUE""")," FUNDACIÓN SANTAFE DE BOGOTÁ")</f>
        <v xml:space="preserve"> FUNDACIÓN SANTAFE DE BOGOTÁ</v>
      </c>
    </row>
    <row r="26" spans="1:1" ht="12.75" x14ac:dyDescent="0.2">
      <c r="A26" s="2" t="str">
        <f ca="1">IFERROR(__xludf.DUMMYFUNCTION("""COMPUTED_VALUE"""),"CONSORCIO SALESIANOS")</f>
        <v>CONSORCIO SALESIANOS</v>
      </c>
    </row>
    <row r="27" spans="1:1" ht="12.75" x14ac:dyDescent="0.2">
      <c r="A27" s="2" t="str">
        <f ca="1">IFERROR(__xludf.DUMMYFUNCTION("""COMPUTED_VALUE"""),"CENTRO CARDIOVASCULAR COLOMBIANO S.A.S.")</f>
        <v>CENTRO CARDIOVASCULAR COLOMBIANO S.A.S.</v>
      </c>
    </row>
    <row r="28" spans="1:1" ht="12.75" x14ac:dyDescent="0.2">
      <c r="A28" s="2" t="str">
        <f ca="1">IFERROR(__xludf.DUMMYFUNCTION("""COMPUTED_VALUE"""),"CONSULTEC INTERNACIONAL SUCURSAL COLOMBIA                                                                ")</f>
        <v xml:space="preserve">CONSULTEC INTERNACIONAL SUCURSAL COLOMBIA                                                                </v>
      </c>
    </row>
    <row r="29" spans="1:1" ht="12.75" x14ac:dyDescent="0.2">
      <c r="A29" s="2" t="str">
        <f ca="1">IFERROR(__xludf.DUMMYFUNCTION("""COMPUTED_VALUE"""),"DLK SA")</f>
        <v>DLK SA</v>
      </c>
    </row>
    <row r="30" spans="1:1" ht="12.75" x14ac:dyDescent="0.2">
      <c r="A30" s="2" t="str">
        <f ca="1">IFERROR(__xludf.DUMMYFUNCTION("""COMPUTED_VALUE"""),"CONSEJO COLOMBIANO DE SEGURIDAD")</f>
        <v>CONSEJO COLOMBIANO DE SEGURIDAD</v>
      </c>
    </row>
    <row r="31" spans="1:1" ht="25.5" x14ac:dyDescent="0.2">
      <c r="A31" s="2" t="str">
        <f ca="1">IFERROR(__xludf.DUMMYFUNCTION("""COMPUTED_VALUE"""),"
UNIAGUSTINIANA")</f>
        <v xml:space="preserve">
UNIAGUSTINIANA</v>
      </c>
    </row>
    <row r="32" spans="1:1" ht="12.75" x14ac:dyDescent="0.2">
      <c r="A32" s="2" t="str">
        <f ca="1">IFERROR(__xludf.DUMMYFUNCTION("""COMPUTED_VALUE"""),"PATRICIA E. ÁLVAREZ IPS LCM SAS ")</f>
        <v xml:space="preserve">PATRICIA E. ÁLVAREZ IPS LCM SAS </v>
      </c>
    </row>
    <row r="33" spans="1:1" ht="12.75" x14ac:dyDescent="0.2">
      <c r="A33" s="2" t="str">
        <f ca="1">IFERROR(__xludf.DUMMYFUNCTION("""COMPUTED_VALUE"""),"FUNDACIÓN SOCIAL SANTA MARÍA")</f>
        <v>FUNDACIÓN SOCIAL SANTA MARÍA</v>
      </c>
    </row>
    <row r="34" spans="1:1" ht="38.25" x14ac:dyDescent="0.2">
      <c r="A34" s="2" t="str">
        <f ca="1">IFERROR(__xludf.DUMMYFUNCTION("""COMPUTED_VALUE"""),"
AGENCIA DE SEGURIDAD INTEGRA SPECIAL LTDA 
")</f>
        <v xml:space="preserve">
AGENCIA DE SEGURIDAD INTEGRA SPECIAL LTDA 
</v>
      </c>
    </row>
    <row r="35" spans="1:1" ht="38.25" x14ac:dyDescent="0.2">
      <c r="A35" s="2" t="str">
        <f ca="1">IFERROR(__xludf.DUMMYFUNCTION("""COMPUTED_VALUE"""),"
REFRIGERACIÓN COMERCIAL SAS - INDUFRIAL
")</f>
        <v xml:space="preserve">
REFRIGERACIÓN COMERCIAL SAS - INDUFRIAL
</v>
      </c>
    </row>
    <row r="36" spans="1:1" ht="12.75" x14ac:dyDescent="0.2">
      <c r="A36" s="2" t="str">
        <f ca="1">IFERROR(__xludf.DUMMYFUNCTION("""COMPUTED_VALUE"""),"MILLENIUM ")</f>
        <v xml:space="preserve">MILLENIUM </v>
      </c>
    </row>
    <row r="37" spans="1:1" ht="12.75" x14ac:dyDescent="0.2">
      <c r="A37" s="2" t="str">
        <f ca="1">IFERROR(__xludf.DUMMYFUNCTION("""COMPUTED_VALUE"""),"CONSEJO COLOMBIANO DE SEGURIDAD")</f>
        <v>CONSEJO COLOMBIANO DE SEGURIDAD</v>
      </c>
    </row>
    <row r="38" spans="1:1" ht="12.75" x14ac:dyDescent="0.2">
      <c r="A38" s="2" t="str">
        <f ca="1">IFERROR(__xludf.DUMMYFUNCTION("""COMPUTED_VALUE"""),"INCOPAV S.A")</f>
        <v>INCOPAV S.A</v>
      </c>
    </row>
    <row r="39" spans="1:1" ht="12.75" x14ac:dyDescent="0.2">
      <c r="A39" s="2" t="str">
        <f ca="1">IFERROR(__xludf.DUMMYFUNCTION("""COMPUTED_VALUE"""),"DIVEMOTOR COLOMBIA SAS")</f>
        <v>DIVEMOTOR COLOMBIA SAS</v>
      </c>
    </row>
    <row r="40" spans="1:1" ht="12.75" x14ac:dyDescent="0.2">
      <c r="A40" s="2" t="str">
        <f ca="1">IFERROR(__xludf.DUMMYFUNCTION("""COMPUTED_VALUE"""),"AUDIOCOM S.A.S")</f>
        <v>AUDIOCOM S.A.S</v>
      </c>
    </row>
    <row r="41" spans="1:1" ht="12.75" x14ac:dyDescent="0.2">
      <c r="A41" s="2" t="str">
        <f ca="1">IFERROR(__xludf.DUMMYFUNCTION("""COMPUTED_VALUE"""),"QUALIT VISION TECHNOLOGIES")</f>
        <v>QUALIT VISION TECHNOLOGIES</v>
      </c>
    </row>
    <row r="42" spans="1:1" ht="12.75" x14ac:dyDescent="0.2">
      <c r="A42" s="2" t="str">
        <f ca="1">IFERROR(__xludf.DUMMYFUNCTION("""COMPUTED_VALUE"""),"VOS A VOS SAS")</f>
        <v>VOS A VOS SAS</v>
      </c>
    </row>
    <row r="43" spans="1:1" ht="51" x14ac:dyDescent="0.2">
      <c r="A43" s="2" t="str">
        <f ca="1">IFERROR(__xludf.DUMMYFUNCTION("""COMPUTED_VALUE"""),"
COMERCIALIZADORA DE SERVICIOS FINANCIEROS S A S
")</f>
        <v xml:space="preserve">
COMERCIALIZADORA DE SERVICIOS FINANCIEROS S A S
</v>
      </c>
    </row>
    <row r="44" spans="1:1" ht="12.75" x14ac:dyDescent="0.2">
      <c r="A44" s="2" t="str">
        <f ca="1">IFERROR(__xludf.DUMMYFUNCTION("""COMPUTED_VALUE"""),"Patricia E. Álvarez IPS LCM SAS")</f>
        <v>Patricia E. Álvarez IPS LCM SAS</v>
      </c>
    </row>
    <row r="45" spans="1:1" ht="12.75" x14ac:dyDescent="0.2">
      <c r="A45" s="2" t="str">
        <f ca="1">IFERROR(__xludf.DUMMYFUNCTION("""COMPUTED_VALUE"""),"Suramérica Comercial S.A.S.")</f>
        <v>Suramérica Comercial S.A.S.</v>
      </c>
    </row>
    <row r="46" spans="1:1" ht="12.75" x14ac:dyDescent="0.2">
      <c r="A46" s="2" t="str">
        <f ca="1">IFERROR(__xludf.DUMMYFUNCTION("""COMPUTED_VALUE"""),"SEVEN PHARMA COLOMBIA SAS")</f>
        <v>SEVEN PHARMA COLOMBIA SAS</v>
      </c>
    </row>
    <row r="47" spans="1:1" ht="12.75" x14ac:dyDescent="0.2">
      <c r="A47" s="2" t="str">
        <f ca="1">IFERROR(__xludf.DUMMYFUNCTION("""COMPUTED_VALUE"""),"ALPHA PHARMA COLOMBIA SAS")</f>
        <v>ALPHA PHARMA COLOMBIA SAS</v>
      </c>
    </row>
    <row r="48" spans="1:1" ht="12.75" x14ac:dyDescent="0.2">
      <c r="A48" s="2" t="str">
        <f ca="1">IFERROR(__xludf.DUMMYFUNCTION("""COMPUTED_VALUE"""),"EXLSERVICE S.A.S.")</f>
        <v>EXLSERVICE S.A.S.</v>
      </c>
    </row>
    <row r="49" spans="1:1" ht="12.75" x14ac:dyDescent="0.2">
      <c r="A49" s="2" t="str">
        <f ca="1">IFERROR(__xludf.DUMMYFUNCTION("""COMPUTED_VALUE"""),"Soluciones Colombianas en Logistica SAS")</f>
        <v>Soluciones Colombianas en Logistica SAS</v>
      </c>
    </row>
    <row r="50" spans="1:1" ht="25.5" x14ac:dyDescent="0.2">
      <c r="A50" s="2" t="str">
        <f ca="1">IFERROR(__xludf.DUMMYFUNCTION("""COMPUTED_VALUE"""),"
UNIAGUSTINIANA")</f>
        <v xml:space="preserve">
UNIAGUSTINIANA</v>
      </c>
    </row>
    <row r="51" spans="1:1" ht="12.75" x14ac:dyDescent="0.2">
      <c r="A51" s="2" t="str">
        <f ca="1">IFERROR(__xludf.DUMMYFUNCTION("""COMPUTED_VALUE""")," Grupo Vardi S.A.S.")</f>
        <v xml:space="preserve"> Grupo Vardi S.A.S.</v>
      </c>
    </row>
    <row r="52" spans="1:1" ht="12.75" x14ac:dyDescent="0.2">
      <c r="A52" s="2" t="str">
        <f ca="1">IFERROR(__xludf.DUMMYFUNCTION("""COMPUTED_VALUE"""),"BERKLEY INTERNATIONAL SEGUROS COLOMBIA S.A")</f>
        <v>BERKLEY INTERNATIONAL SEGUROS COLOMBIA S.A</v>
      </c>
    </row>
    <row r="53" spans="1:1" ht="12.75" x14ac:dyDescent="0.2">
      <c r="A53" s="2" t="str">
        <f ca="1">IFERROR(__xludf.DUMMYFUNCTION("""COMPUTED_VALUE"""),"VOLVO GROUP COLOMBIA SAS")</f>
        <v>VOLVO GROUP COLOMBIA SAS</v>
      </c>
    </row>
    <row r="54" spans="1:1" ht="12.75" x14ac:dyDescent="0.2">
      <c r="A54" s="2" t="str">
        <f ca="1">IFERROR(__xludf.DUMMYFUNCTION("""COMPUTED_VALUE"""),"ZIMMER BIOMET COLOMBIA S.A.S")</f>
        <v>ZIMMER BIOMET COLOMBIA S.A.S</v>
      </c>
    </row>
    <row r="55" spans="1:1" ht="12.75" x14ac:dyDescent="0.2">
      <c r="A55" s="2" t="str">
        <f ca="1">IFERROR(__xludf.DUMMYFUNCTION("""COMPUTED_VALUE"""),"LAIKA LOGISTICA SAS")</f>
        <v>LAIKA LOGISTICA SAS</v>
      </c>
    </row>
    <row r="56" spans="1:1" ht="12.75" x14ac:dyDescent="0.2">
      <c r="A56" s="2" t="str">
        <f ca="1">IFERROR(__xludf.DUMMYFUNCTION("""COMPUTED_VALUE"""),"PROYECTO E SAS")</f>
        <v>PROYECTO E SAS</v>
      </c>
    </row>
    <row r="57" spans="1:1" ht="12.75" x14ac:dyDescent="0.2">
      <c r="A57" s="2" t="str">
        <f ca="1">IFERROR(__xludf.DUMMYFUNCTION("""COMPUTED_VALUE"""),"CHAZEY PARTNERS COLOMBIA S A S")</f>
        <v>CHAZEY PARTNERS COLOMBIA S A S</v>
      </c>
    </row>
    <row r="58" spans="1:1" ht="12.75" x14ac:dyDescent="0.2">
      <c r="A58" s="2" t="str">
        <f ca="1">IFERROR(__xludf.DUMMYFUNCTION("""COMPUTED_VALUE""")," ORDEN DE AGUSTINIANOS RECOLETOS")</f>
        <v xml:space="preserve"> ORDEN DE AGUSTINIANOS RECOLETOS</v>
      </c>
    </row>
    <row r="59" spans="1:1" ht="12.75" x14ac:dyDescent="0.2">
      <c r="A59" s="2" t="str">
        <f ca="1">IFERROR(__xludf.DUMMYFUNCTION("""COMPUTED_VALUE"""),"FOUNDEVER DE COLOMBIA S.A.")</f>
        <v>FOUNDEVER DE COLOMBIA S.A.</v>
      </c>
    </row>
    <row r="60" spans="1:1" ht="12.75" x14ac:dyDescent="0.2">
      <c r="A60" s="2" t="str">
        <f ca="1">IFERROR(__xludf.DUMMYFUNCTION("""COMPUTED_VALUE""")," INVERSIONES INT COLOMBIA SAS")</f>
        <v xml:space="preserve"> INVERSIONES INT COLOMBIA SAS</v>
      </c>
    </row>
    <row r="61" spans="1:1" ht="12.75" x14ac:dyDescent="0.2">
      <c r="A61" s="2" t="str">
        <f ca="1">IFERROR(__xludf.DUMMYFUNCTION("""COMPUTED_VALUE""")," BEYOND COLOMBIA S.A.S.")</f>
        <v xml:space="preserve"> BEYOND COLOMBIA S.A.S.</v>
      </c>
    </row>
    <row r="62" spans="1:1" ht="12.75" x14ac:dyDescent="0.2">
      <c r="A62" s="2" t="str">
        <f ca="1">IFERROR(__xludf.DUMMYFUNCTION("""COMPUTED_VALUE""")," DON MAIZ S.A.S.")</f>
        <v xml:space="preserve"> DON MAIZ S.A.S.</v>
      </c>
    </row>
    <row r="63" spans="1:1" ht="12.75" x14ac:dyDescent="0.2">
      <c r="A63" s="2" t="str">
        <f ca="1">IFERROR(__xludf.DUMMYFUNCTION("""COMPUTED_VALUE"""),"COLVANES SAS")</f>
        <v>COLVANES SAS</v>
      </c>
    </row>
    <row r="64" spans="1:1" ht="12.75" x14ac:dyDescent="0.2">
      <c r="A64" s="2" t="str">
        <f ca="1">IFERROR(__xludf.DUMMYFUNCTION("""COMPUTED_VALUE"""),"PROES LATAM S.A.S")</f>
        <v>PROES LATAM S.A.S</v>
      </c>
    </row>
    <row r="65" spans="1:1" ht="12.75" x14ac:dyDescent="0.2">
      <c r="A65" s="2" t="str">
        <f ca="1">IFERROR(__xludf.DUMMYFUNCTION("""COMPUTED_VALUE"""),"JAZZPLAT COLOMBIA S.A.S.")</f>
        <v>JAZZPLAT COLOMBIA S.A.S.</v>
      </c>
    </row>
    <row r="66" spans="1:1" ht="12.75" x14ac:dyDescent="0.2">
      <c r="A66" s="2" t="str">
        <f ca="1">IFERROR(__xludf.DUMMYFUNCTION("""COMPUTED_VALUE"""),"   LAFAYETTE S.A.")</f>
        <v xml:space="preserve">   LAFAYETTE S.A.</v>
      </c>
    </row>
    <row r="67" spans="1:1" ht="12.75" x14ac:dyDescent="0.2">
      <c r="A67" s="2" t="str">
        <f ca="1">IFERROR(__xludf.DUMMYFUNCTION("""COMPUTED_VALUE"""),"CASA LIMPIA LTDA")</f>
        <v>CASA LIMPIA LTDA</v>
      </c>
    </row>
    <row r="68" spans="1:1" ht="12.75" x14ac:dyDescent="0.2">
      <c r="A68" s="2" t="str">
        <f ca="1">IFERROR(__xludf.DUMMYFUNCTION("""COMPUTED_VALUE"""),"CARLOS RANGEL GALVIS")</f>
        <v>CARLOS RANGEL GALVIS</v>
      </c>
    </row>
    <row r="69" spans="1:1" ht="12.75" x14ac:dyDescent="0.2">
      <c r="A69" s="2" t="str">
        <f ca="1">IFERROR(__xludf.DUMMYFUNCTION("""COMPUTED_VALUE"""),"MASIVO CAPITAL S.A.S")</f>
        <v>MASIVO CAPITAL S.A.S</v>
      </c>
    </row>
    <row r="70" spans="1:1" ht="12.75" x14ac:dyDescent="0.2">
      <c r="A70" s="2" t="str">
        <f ca="1">IFERROR(__xludf.DUMMYFUNCTION("""COMPUTED_VALUE"""),"FRONTERA ENERGY")</f>
        <v>FRONTERA ENERGY</v>
      </c>
    </row>
    <row r="71" spans="1:1" ht="12.75" x14ac:dyDescent="0.2">
      <c r="A71" s="2" t="str">
        <f ca="1">IFERROR(__xludf.DUMMYFUNCTION("""COMPUTED_VALUE"""),"COMPAÑIA GENERAL DE ACEROS S.A")</f>
        <v>COMPAÑIA GENERAL DE ACEROS S.A</v>
      </c>
    </row>
    <row r="72" spans="1:1" ht="12.75" x14ac:dyDescent="0.2">
      <c r="A72" s="2" t="str">
        <f ca="1">IFERROR(__xludf.DUMMYFUNCTION("""COMPUTED_VALUE""")," THOMAS GREG &amp; SONS DE COLOMBIA S.A.")</f>
        <v xml:space="preserve"> THOMAS GREG &amp; SONS DE COLOMBIA S.A.</v>
      </c>
    </row>
    <row r="73" spans="1:1" ht="25.5" x14ac:dyDescent="0.2">
      <c r="A73" s="2" t="str">
        <f ca="1">IFERROR(__xludf.DUMMYFUNCTION("""COMPUTED_VALUE"""),"ORJUELA MEDINA DANIEL ENRIQUE
")</f>
        <v xml:space="preserve">ORJUELA MEDINA DANIEL ENRIQUE
</v>
      </c>
    </row>
    <row r="74" spans="1:1" ht="12.75" x14ac:dyDescent="0.2">
      <c r="A74" s="2" t="str">
        <f ca="1">IFERROR(__xludf.DUMMYFUNCTION("""COMPUTED_VALUE"""),"THUNDER LIGHT S A S")</f>
        <v>THUNDER LIGHT S A S</v>
      </c>
    </row>
    <row r="75" spans="1:1" ht="12.75" x14ac:dyDescent="0.2">
      <c r="A75" s="2" t="str">
        <f ca="1">IFERROR(__xludf.DUMMYFUNCTION("""COMPUTED_VALUE"""),"SUMMAR TEMPORALES SAS")</f>
        <v>SUMMAR TEMPORALES SAS</v>
      </c>
    </row>
    <row r="76" spans="1:1" ht="12.75" x14ac:dyDescent="0.2">
      <c r="A76" s="2" t="str">
        <f ca="1">IFERROR(__xludf.DUMMYFUNCTION("""COMPUTED_VALUE"""),"ICOL CONSULTORES SAS")</f>
        <v>ICOL CONSULTORES SAS</v>
      </c>
    </row>
    <row r="77" spans="1:1" ht="12.75" x14ac:dyDescent="0.2">
      <c r="A77" s="2" t="str">
        <f ca="1">IFERROR(__xludf.DUMMYFUNCTION("""COMPUTED_VALUE"""),"BIOMAX BIOCOMBUSTIBLES SA")</f>
        <v>BIOMAX BIOCOMBUSTIBLES SA</v>
      </c>
    </row>
    <row r="78" spans="1:1" ht="25.5" x14ac:dyDescent="0.2">
      <c r="A78" s="2" t="str">
        <f ca="1">IFERROR(__xludf.DUMMYFUNCTION("""COMPUTED_VALUE"""),"EDELMAN POSITION COMUNICACIONES ESTRATÉGICAS COLOMBIA S.A.S")</f>
        <v>EDELMAN POSITION COMUNICACIONES ESTRATÉGICAS COLOMBIA S.A.S</v>
      </c>
    </row>
    <row r="79" spans="1:1" ht="38.25" x14ac:dyDescent="0.2">
      <c r="A79" s="2" t="str">
        <f ca="1">IFERROR(__xludf.DUMMYFUNCTION("""COMPUTED_VALUE"""),"
BANCO MUNDO MUJER
")</f>
        <v xml:space="preserve">
BANCO MUNDO MUJER
</v>
      </c>
    </row>
    <row r="80" spans="1:1" ht="12.75" x14ac:dyDescent="0.2">
      <c r="A80" s="2" t="str">
        <f ca="1">IFERROR(__xludf.DUMMYFUNCTION("""COMPUTED_VALUE"""),"JOHNSON CONTROLS COLOMBIA")</f>
        <v>JOHNSON CONTROLS COLOMBIA</v>
      </c>
    </row>
    <row r="81" spans="1:1" ht="25.5" x14ac:dyDescent="0.2">
      <c r="A81" s="2" t="str">
        <f ca="1">IFERROR(__xludf.DUMMYFUNCTION("""COMPUTED_VALUE"""),"
JJ INSTALACIONES ELÉCTRICAS SAS")</f>
        <v xml:space="preserve">
JJ INSTALACIONES ELÉCTRICAS SAS</v>
      </c>
    </row>
    <row r="82" spans="1:1" ht="12.75" x14ac:dyDescent="0.2">
      <c r="A82" s="2" t="str">
        <f ca="1">IFERROR(__xludf.DUMMYFUNCTION("""COMPUTED_VALUE"""),"SUSTS COLOMBIA LTDA")</f>
        <v>SUSTS COLOMBIA LTDA</v>
      </c>
    </row>
    <row r="83" spans="1:1" ht="12.75" x14ac:dyDescent="0.2">
      <c r="A83" s="2" t="str">
        <f ca="1">IFERROR(__xludf.DUMMYFUNCTION("""COMPUTED_VALUE"""),"CHOHO COLOMBIA S.A.S")</f>
        <v>CHOHO COLOMBIA S.A.S</v>
      </c>
    </row>
    <row r="84" spans="1:1" ht="12.75" x14ac:dyDescent="0.2">
      <c r="A84" s="2" t="str">
        <f ca="1">IFERROR(__xludf.DUMMYFUNCTION("""COMPUTED_VALUE"""),"THOMAS GREG &amp; SONS LIMITED")</f>
        <v>THOMAS GREG &amp; SONS LIMITED</v>
      </c>
    </row>
    <row r="85" spans="1:1" ht="12.75" x14ac:dyDescent="0.2">
      <c r="A85" s="2" t="str">
        <f ca="1">IFERROR(__xludf.DUMMYFUNCTION("""COMPUTED_VALUE"""),"ALFAGRES S.A.")</f>
        <v>ALFAGRES S.A.</v>
      </c>
    </row>
    <row r="86" spans="1:1" ht="25.5" x14ac:dyDescent="0.2">
      <c r="A86" s="2" t="str">
        <f ca="1">IFERROR(__xludf.DUMMYFUNCTION("""COMPUTED_VALUE""")," COMPAÑÍA DE CRÉDITOS RÁPIDOS S.A.S RAPICREDIT ")</f>
        <v xml:space="preserve"> COMPAÑÍA DE CRÉDITOS RÁPIDOS S.A.S RAPICREDIT </v>
      </c>
    </row>
    <row r="87" spans="1:1" ht="12.75" x14ac:dyDescent="0.2">
      <c r="A87" s="2" t="str">
        <f ca="1">IFERROR(__xludf.DUMMYFUNCTION("""COMPUTED_VALUE"""),"FRONTERA ENERGY")</f>
        <v>FRONTERA ENERGY</v>
      </c>
    </row>
    <row r="88" spans="1:1" ht="12.75" x14ac:dyDescent="0.2">
      <c r="A88" s="2" t="str">
        <f ca="1">IFERROR(__xludf.DUMMYFUNCTION("""COMPUTED_VALUE"""),"GRUPO AVAL ACCIONES Y VALORES S.A.")</f>
        <v>GRUPO AVAL ACCIONES Y VALORES S.A.</v>
      </c>
    </row>
    <row r="89" spans="1:1" ht="12.75" x14ac:dyDescent="0.2">
      <c r="A89" s="2" t="str">
        <f ca="1">IFERROR(__xludf.DUMMYFUNCTION("""COMPUTED_VALUE"""),"CAS COLOMBO AMERICAN SCHOOL S.A.S")</f>
        <v>CAS COLOMBO AMERICAN SCHOOL S.A.S</v>
      </c>
    </row>
    <row r="90" spans="1:1" ht="12.75" x14ac:dyDescent="0.2">
      <c r="A90" s="2" t="str">
        <f ca="1">IFERROR(__xludf.DUMMYFUNCTION("""COMPUTED_VALUE"""),"RECORDAR PREVISION EXEQUIAL")</f>
        <v>RECORDAR PREVISION EXEQUIAL</v>
      </c>
    </row>
    <row r="91" spans="1:1" ht="12.75" x14ac:dyDescent="0.2">
      <c r="A91" s="2" t="str">
        <f ca="1">IFERROR(__xludf.DUMMYFUNCTION("""COMPUTED_VALUE"""),"PARQUES Y FUNERARIAS")</f>
        <v>PARQUES Y FUNERARIAS</v>
      </c>
    </row>
    <row r="92" spans="1:1" ht="12.75" x14ac:dyDescent="0.2">
      <c r="A92" s="2" t="str">
        <f ca="1">IFERROR(__xludf.DUMMYFUNCTION("""COMPUTED_VALUE"""),"CONSORCIO GESTION INCOFEM 3")</f>
        <v>CONSORCIO GESTION INCOFEM 3</v>
      </c>
    </row>
    <row r="93" spans="1:1" ht="12.75" x14ac:dyDescent="0.2">
      <c r="A93" s="2" t="str">
        <f ca="1">IFERROR(__xludf.DUMMYFUNCTION("""COMPUTED_VALUE"""),"INDUSTRIAN AERONÁUTICA")</f>
        <v>INDUSTRIAN AERONÁUTICA</v>
      </c>
    </row>
    <row r="94" spans="1:1" ht="25.5" x14ac:dyDescent="0.2">
      <c r="A94" s="2" t="str">
        <f ca="1">IFERROR(__xludf.DUMMYFUNCTION("""COMPUTED_VALUE"""),"AEREA DE SERVICIOS Y FACILITACION LOGISTICA INTEGRAL")</f>
        <v>AEREA DE SERVICIOS Y FACILITACION LOGISTICA INTEGRAL</v>
      </c>
    </row>
    <row r="95" spans="1:1" ht="12.75" x14ac:dyDescent="0.2">
      <c r="A95" s="2" t="str">
        <f ca="1">IFERROR(__xludf.DUMMYFUNCTION("""COMPUTED_VALUE"""),"PARQUES")</f>
        <v>PARQUES</v>
      </c>
    </row>
    <row r="96" spans="1:1" ht="25.5" x14ac:dyDescent="0.2">
      <c r="A96" s="2" t="str">
        <f ca="1">IFERROR(__xludf.DUMMYFUNCTION("""COMPUTED_VALUE"""),"SERVICIO INTEGRAL DE CARTERA Y CREDITO RECUPERA SAS")</f>
        <v>SERVICIO INTEGRAL DE CARTERA Y CREDITO RECUPERA SAS</v>
      </c>
    </row>
    <row r="97" spans="1:1" ht="12.75" x14ac:dyDescent="0.2">
      <c r="A97" s="2" t="str">
        <f ca="1">IFERROR(__xludf.DUMMYFUNCTION("""COMPUTED_VALUE"""),"RUSSELL BEDFORD COLOMBIA S.A")</f>
        <v>RUSSELL BEDFORD COLOMBIA S.A</v>
      </c>
    </row>
    <row r="98" spans="1:1" ht="25.5" x14ac:dyDescent="0.2">
      <c r="A98" s="2" t="str">
        <f ca="1">IFERROR(__xludf.DUMMYFUNCTION("""COMPUTED_VALUE"""),"FUNDACIÓN UNIVERSIDAD EXTERNADO DE COLOMBIA")</f>
        <v>FUNDACIÓN UNIVERSIDAD EXTERNADO DE COLOMBIA</v>
      </c>
    </row>
    <row r="99" spans="1:1" ht="25.5" x14ac:dyDescent="0.2">
      <c r="A99" s="2" t="str">
        <f ca="1">IFERROR(__xludf.DUMMYFUNCTION("""COMPUTED_VALUE"""),"
APPLUS NORCONTROL COLOMBIA LTDA")</f>
        <v xml:space="preserve">
APPLUS NORCONTROL COLOMBIA LTDA</v>
      </c>
    </row>
    <row r="100" spans="1:1" ht="25.5" x14ac:dyDescent="0.2">
      <c r="A100" s="2" t="str">
        <f ca="1">IFERROR(__xludf.DUMMYFUNCTION("""COMPUTED_VALUE"""),"        
SOLLA S.A")</f>
        <v xml:space="preserve">        
SOLLA S.A</v>
      </c>
    </row>
    <row r="101" spans="1:1" ht="25.5" x14ac:dyDescent="0.2">
      <c r="A101" s="2" t="str">
        <f ca="1">IFERROR(__xludf.DUMMYFUNCTION("""COMPUTED_VALUE"""),"COMPAÑIA INDUSTRIAL DE PRODUCTOS AGROPECUARIOS CIPA S.A ")</f>
        <v xml:space="preserve">COMPAÑIA INDUSTRIAL DE PRODUCTOS AGROPECUARIOS CIPA S.A </v>
      </c>
    </row>
    <row r="102" spans="1:1" ht="12.75" x14ac:dyDescent="0.2">
      <c r="A102" s="2" t="str">
        <f ca="1">IFERROR(__xludf.DUMMYFUNCTION("""COMPUTED_VALUE"""),"SIBYL DEL GRUPO TRANSBORDER")</f>
        <v>SIBYL DEL GRUPO TRANSBORDER</v>
      </c>
    </row>
    <row r="103" spans="1:1" ht="12.75" x14ac:dyDescent="0.2">
      <c r="A103" s="2" t="str">
        <f ca="1">IFERROR(__xludf.DUMMYFUNCTION("""COMPUTED_VALUE"""),"AMARILO")</f>
        <v>AMARILO</v>
      </c>
    </row>
    <row r="104" spans="1:1" ht="12.75" x14ac:dyDescent="0.2">
      <c r="A104" s="2" t="str">
        <f ca="1">IFERROR(__xludf.DUMMYFUNCTION("""COMPUTED_VALUE"""),"MENDEBAL S.A.S")</f>
        <v>MENDEBAL S.A.S</v>
      </c>
    </row>
    <row r="105" spans="1:1" ht="12.75" x14ac:dyDescent="0.2">
      <c r="A105" s="2" t="str">
        <f ca="1">IFERROR(__xludf.DUMMYFUNCTION("""COMPUTED_VALUE"""),"CAPGEMINI COLOMBIA S.A.S.")</f>
        <v>CAPGEMINI COLOMBIA S.A.S.</v>
      </c>
    </row>
    <row r="106" spans="1:1" ht="12.75" x14ac:dyDescent="0.2">
      <c r="A106" s="2" t="str">
        <f ca="1">IFERROR(__xludf.DUMMYFUNCTION("""COMPUTED_VALUE"""),"MECANELECTRO")</f>
        <v>MECANELECTRO</v>
      </c>
    </row>
    <row r="107" spans="1:1" ht="12.75" x14ac:dyDescent="0.2">
      <c r="A107" s="2" t="str">
        <f ca="1">IFERROR(__xludf.DUMMYFUNCTION("""COMPUTED_VALUE""")," COMERCIAL PAPELERA S.A")</f>
        <v xml:space="preserve"> COMERCIAL PAPELERA S.A</v>
      </c>
    </row>
    <row r="108" spans="1:1" ht="25.5" x14ac:dyDescent="0.2">
      <c r="A108" s="2" t="str">
        <f ca="1">IFERROR(__xludf.DUMMYFUNCTION("""COMPUTED_VALUE"""),"
EMGESA")</f>
        <v xml:space="preserve">
EMGESA</v>
      </c>
    </row>
    <row r="109" spans="1:1" ht="12.75" x14ac:dyDescent="0.2">
      <c r="A109" s="2" t="str">
        <f ca="1">IFERROR(__xludf.DUMMYFUNCTION("""COMPUTED_VALUE"""),"HENKEL COLOMBIANA S A S")</f>
        <v>HENKEL COLOMBIANA S A S</v>
      </c>
    </row>
    <row r="110" spans="1:1" ht="12.75" x14ac:dyDescent="0.2">
      <c r="A110" s="2" t="str">
        <f ca="1">IFERROR(__xludf.DUMMYFUNCTION("""COMPUTED_VALUE"""),"FASHION FITNESS COLOMBIA S.A.S.")</f>
        <v>FASHION FITNESS COLOMBIA S.A.S.</v>
      </c>
    </row>
    <row r="111" spans="1:1" ht="12.75" x14ac:dyDescent="0.2">
      <c r="A111" s="2" t="str">
        <f ca="1">IFERROR(__xludf.DUMMYFUNCTION("""COMPUTED_VALUE"""),"CAPGEMINI COLOMBIA S.A.S. ")</f>
        <v xml:space="preserve">CAPGEMINI COLOMBIA S.A.S. </v>
      </c>
    </row>
    <row r="112" spans="1:1" ht="12.75" x14ac:dyDescent="0.2">
      <c r="A112" s="2" t="str">
        <f ca="1">IFERROR(__xludf.DUMMYFUNCTION("""COMPUTED_VALUE"""),"BANEXPORT SA")</f>
        <v>BANEXPORT SA</v>
      </c>
    </row>
    <row r="113" spans="1:1" ht="12.75" x14ac:dyDescent="0.2">
      <c r="A113" s="2" t="str">
        <f ca="1">IFERROR(__xludf.DUMMYFUNCTION("""COMPUTED_VALUE"""),"BLU LOGISTICS")</f>
        <v>BLU LOGISTICS</v>
      </c>
    </row>
    <row r="114" spans="1:1" ht="25.5" x14ac:dyDescent="0.2">
      <c r="A114" s="2" t="str">
        <f ca="1">IFERROR(__xludf.DUMMYFUNCTION("""COMPUTED_VALUE"""),"COMPAÑIA DE INVERSIONES TEXTILES DE MODA S A S TEXMODA SAS")</f>
        <v>COMPAÑIA DE INVERSIONES TEXTILES DE MODA S A S TEXMODA SAS</v>
      </c>
    </row>
    <row r="115" spans="1:1" ht="12.75" x14ac:dyDescent="0.2">
      <c r="A115" s="2" t="str">
        <f ca="1">IFERROR(__xludf.DUMMYFUNCTION("""COMPUTED_VALUE"""),"OPERADORA DE FRANQUICIAS DE COLOMBIA")</f>
        <v>OPERADORA DE FRANQUICIAS DE COLOMBIA</v>
      </c>
    </row>
    <row r="116" spans="1:1" ht="12.75" x14ac:dyDescent="0.2">
      <c r="A116" s="2" t="str">
        <f ca="1">IFERROR(__xludf.DUMMYFUNCTION("""COMPUTED_VALUE""")," IEH GRUCON S.A.")</f>
        <v xml:space="preserve"> IEH GRUCON S.A.</v>
      </c>
    </row>
    <row r="117" spans="1:1" ht="12.75" x14ac:dyDescent="0.2">
      <c r="A117" s="2" t="str">
        <f ca="1">IFERROR(__xludf.DUMMYFUNCTION("""COMPUTED_VALUE""")," ELECTROEQUIPOS")</f>
        <v xml:space="preserve"> ELECTROEQUIPOS</v>
      </c>
    </row>
    <row r="118" spans="1:1" ht="12.75" x14ac:dyDescent="0.2">
      <c r="A118" s="2" t="str">
        <f ca="1">IFERROR(__xludf.DUMMYFUNCTION("""COMPUTED_VALUE"""),"WINNER GROUP S.A.")</f>
        <v>WINNER GROUP S.A.</v>
      </c>
    </row>
    <row r="119" spans="1:1" ht="12.75" x14ac:dyDescent="0.2">
      <c r="A119" s="2" t="str">
        <f ca="1">IFERROR(__xludf.DUMMYFUNCTION("""COMPUTED_VALUE"""),"CENTRO COLOMBO AMERICANO")</f>
        <v>CENTRO COLOMBO AMERICANO</v>
      </c>
    </row>
    <row r="120" spans="1:1" ht="12.75" x14ac:dyDescent="0.2">
      <c r="A120" s="2" t="str">
        <f ca="1">IFERROR(__xludf.DUMMYFUNCTION("""COMPUTED_VALUE"""),"INCITECO SAS")</f>
        <v>INCITECO SAS</v>
      </c>
    </row>
    <row r="121" spans="1:1" ht="12.75" x14ac:dyDescent="0.2">
      <c r="A121" s="2" t="str">
        <f ca="1">IFERROR(__xludf.DUMMYFUNCTION("""COMPUTED_VALUE"""),"BAKER MCKENZIE")</f>
        <v>BAKER MCKENZIE</v>
      </c>
    </row>
    <row r="122" spans="1:1" ht="12.75" x14ac:dyDescent="0.2">
      <c r="A122" s="2" t="str">
        <f ca="1">IFERROR(__xludf.DUMMYFUNCTION("""COMPUTED_VALUE"""),"SOFTWAREONE")</f>
        <v>SOFTWAREONE</v>
      </c>
    </row>
    <row r="123" spans="1:1" ht="25.5" x14ac:dyDescent="0.2">
      <c r="A123" s="2" t="str">
        <f ca="1">IFERROR(__xludf.DUMMYFUNCTION("""COMPUTED_VALUE""")," DESPACHADORA INTERNACIONAL DE COLOMBIA SAS")</f>
        <v xml:space="preserve"> DESPACHADORA INTERNACIONAL DE COLOMBIA SAS</v>
      </c>
    </row>
    <row r="124" spans="1:1" ht="12.75" x14ac:dyDescent="0.2">
      <c r="A124" s="2" t="str">
        <f ca="1">IFERROR(__xludf.DUMMYFUNCTION("""COMPUTED_VALUE""")," BAKER MCKENZIE")</f>
        <v xml:space="preserve"> BAKER MCKENZIE</v>
      </c>
    </row>
    <row r="125" spans="1:1" ht="12.75" x14ac:dyDescent="0.2">
      <c r="A125" s="2" t="str">
        <f ca="1">IFERROR(__xludf.DUMMYFUNCTION("""COMPUTED_VALUE"""),"JJ INSTALACIONES ELÉCTRICAS SAS")</f>
        <v>JJ INSTALACIONES ELÉCTRICAS SAS</v>
      </c>
    </row>
    <row r="126" spans="1:1" ht="12.75" x14ac:dyDescent="0.2">
      <c r="A126" s="2" t="str">
        <f ca="1">IFERROR(__xludf.DUMMYFUNCTION("""COMPUTED_VALUE"""),"KPMG ADVISORY TAX &amp; LEGAL")</f>
        <v>KPMG ADVISORY TAX &amp; LEGAL</v>
      </c>
    </row>
    <row r="127" spans="1:1" ht="12.75" x14ac:dyDescent="0.2">
      <c r="A127" s="2" t="str">
        <f ca="1">IFERROR(__xludf.DUMMYFUNCTION("""COMPUTED_VALUE"""),"KPMG S.A.S")</f>
        <v>KPMG S.A.S</v>
      </c>
    </row>
    <row r="128" spans="1:1" ht="12.75" x14ac:dyDescent="0.2">
      <c r="A128" s="2" t="str">
        <f ca="1">IFERROR(__xludf.DUMMYFUNCTION("""COMPUTED_VALUE"""),"CONSORCIO GESTION INCOFEM 3")</f>
        <v>CONSORCIO GESTION INCOFEM 3</v>
      </c>
    </row>
    <row r="129" spans="1:1" ht="12.75" x14ac:dyDescent="0.2">
      <c r="A129" s="2" t="str">
        <f ca="1">IFERROR(__xludf.DUMMYFUNCTION("""COMPUTED_VALUE"""),"UNION TEMPORAL GESTORES - ALIANZA EDUCATIVA")</f>
        <v>UNION TEMPORAL GESTORES - ALIANZA EDUCATIVA</v>
      </c>
    </row>
    <row r="130" spans="1:1" ht="12.75" x14ac:dyDescent="0.2">
      <c r="A130" s="2" t="str">
        <f ca="1">IFERROR(__xludf.DUMMYFUNCTION("""COMPUTED_VALUE"""),"BANCO DE BOGOTA")</f>
        <v>BANCO DE BOGOTA</v>
      </c>
    </row>
    <row r="131" spans="1:1" ht="12.75" x14ac:dyDescent="0.2">
      <c r="A131" s="2" t="str">
        <f ca="1">IFERROR(__xludf.DUMMYFUNCTION("""COMPUTED_VALUE"""),"NESTLE PURINA PET CARE DE COLOMBIA S.A.")</f>
        <v>NESTLE PURINA PET CARE DE COLOMBIA S.A.</v>
      </c>
    </row>
    <row r="132" spans="1:1" ht="12.75" x14ac:dyDescent="0.2">
      <c r="A132" s="2" t="str">
        <f ca="1">IFERROR(__xludf.DUMMYFUNCTION("""COMPUTED_VALUE"""),"VGMOBILITY SERVICES SAS")</f>
        <v>VGMOBILITY SERVICES SAS</v>
      </c>
    </row>
    <row r="133" spans="1:1" ht="12.75" x14ac:dyDescent="0.2">
      <c r="A133" s="2" t="str">
        <f ca="1">IFERROR(__xludf.DUMMYFUNCTION("""COMPUTED_VALUE"""),"INVERFARMA SAS")</f>
        <v>INVERFARMA SAS</v>
      </c>
    </row>
    <row r="134" spans="1:1" ht="25.5" x14ac:dyDescent="0.2">
      <c r="A134" s="2" t="str">
        <f ca="1">IFERROR(__xludf.DUMMYFUNCTION("""COMPUTED_VALUE"""),"AGENCIA DE VIAJES Y TURISMO CIELOS ABIERTOS LTDA")</f>
        <v>AGENCIA DE VIAJES Y TURISMO CIELOS ABIERTOS LTDA</v>
      </c>
    </row>
    <row r="135" spans="1:1" ht="12.75" x14ac:dyDescent="0.2">
      <c r="A135" s="2" t="str">
        <f ca="1">IFERROR(__xludf.DUMMYFUNCTION("""COMPUTED_VALUE"""),"BLUSH BAR S.A.S")</f>
        <v>BLUSH BAR S.A.S</v>
      </c>
    </row>
    <row r="136" spans="1:1" ht="12.75" x14ac:dyDescent="0.2">
      <c r="A136" s="2" t="str">
        <f ca="1">IFERROR(__xludf.DUMMYFUNCTION("""COMPUTED_VALUE"""),"OCTOPUS TRAVEL LTDA")</f>
        <v>OCTOPUS TRAVEL LTDA</v>
      </c>
    </row>
    <row r="137" spans="1:1" ht="12.75" x14ac:dyDescent="0.2">
      <c r="A137" s="2" t="str">
        <f ca="1">IFERROR(__xludf.DUMMYFUNCTION("""COMPUTED_VALUE""")," OPERADORA DE HOTELES AVIA SAS")</f>
        <v xml:space="preserve"> OPERADORA DE HOTELES AVIA SAS</v>
      </c>
    </row>
    <row r="138" spans="1:1" ht="12.75" x14ac:dyDescent="0.2">
      <c r="A138" s="2" t="str">
        <f ca="1">IFERROR(__xludf.DUMMYFUNCTION("""COMPUTED_VALUE"""),"MG CONSULTORES S.A.S")</f>
        <v>MG CONSULTORES S.A.S</v>
      </c>
    </row>
    <row r="139" spans="1:1" ht="12.75" x14ac:dyDescent="0.2">
      <c r="A139" s="2" t="str">
        <f ca="1">IFERROR(__xludf.DUMMYFUNCTION("""COMPUTED_VALUE"""),"QUIRÓN PREVENCIÓN COLOMBIA")</f>
        <v>QUIRÓN PREVENCIÓN COLOMBIA</v>
      </c>
    </row>
    <row r="140" spans="1:1" ht="12.75" x14ac:dyDescent="0.2">
      <c r="A140" s="2" t="str">
        <f ca="1">IFERROR(__xludf.DUMMYFUNCTION("""COMPUTED_VALUE"""),"OSPINAS Y CIA S.A")</f>
        <v>OSPINAS Y CIA S.A</v>
      </c>
    </row>
    <row r="141" spans="1:1" ht="12.75" x14ac:dyDescent="0.2">
      <c r="A141" s="2" t="str">
        <f ca="1">IFERROR(__xludf.DUMMYFUNCTION("""COMPUTED_VALUE"""),"AZTECA COMUNICACIONES COLOMBIA S A S")</f>
        <v>AZTECA COMUNICACIONES COLOMBIA S A S</v>
      </c>
    </row>
    <row r="142" spans="1:1" ht="12.75" x14ac:dyDescent="0.2">
      <c r="A142" s="2" t="str">
        <f ca="1">IFERROR(__xludf.DUMMYFUNCTION("""COMPUTED_VALUE"""),"MMS COMUNICACIONES COLOMBIA S.A.S")</f>
        <v>MMS COMUNICACIONES COLOMBIA S.A.S</v>
      </c>
    </row>
    <row r="143" spans="1:1" ht="25.5" x14ac:dyDescent="0.2">
      <c r="A143" s="2" t="str">
        <f ca="1">IFERROR(__xludf.DUMMYFUNCTION("""COMPUTED_VALUE"""),"
SERVICE LOGISTIC")</f>
        <v xml:space="preserve">
SERVICE LOGISTIC</v>
      </c>
    </row>
    <row r="144" spans="1:1" ht="12.75" x14ac:dyDescent="0.2">
      <c r="A144" s="2" t="str">
        <f ca="1">IFERROR(__xludf.DUMMYFUNCTION("""COMPUTED_VALUE"""),"TRANSPORTADORA DE VALORES ATLAS. LTDA")</f>
        <v>TRANSPORTADORA DE VALORES ATLAS. LTDA</v>
      </c>
    </row>
    <row r="145" spans="1:1" ht="12.75" x14ac:dyDescent="0.2">
      <c r="A145" s="2" t="str">
        <f ca="1">IFERROR(__xludf.DUMMYFUNCTION("""COMPUTED_VALUE"""),"COMBUSTIBLES DE COLOMBIA")</f>
        <v>COMBUSTIBLES DE COLOMBIA</v>
      </c>
    </row>
    <row r="146" spans="1:1" ht="12.75" x14ac:dyDescent="0.2">
      <c r="A146" s="2" t="str">
        <f ca="1">IFERROR(__xludf.DUMMYFUNCTION("""COMPUTED_VALUE"""),"U.A.E INSTITUTO NACIONAL DE METROLOGIA INM ")</f>
        <v xml:space="preserve">U.A.E INSTITUTO NACIONAL DE METROLOGIA INM </v>
      </c>
    </row>
    <row r="147" spans="1:1" ht="12.75" x14ac:dyDescent="0.2">
      <c r="A147" s="2" t="str">
        <f ca="1">IFERROR(__xludf.DUMMYFUNCTION("""COMPUTED_VALUE"""),"INTERACTIVO CONTACT CENTER")</f>
        <v>INTERACTIVO CONTACT CENTER</v>
      </c>
    </row>
    <row r="148" spans="1:1" ht="25.5" x14ac:dyDescent="0.2">
      <c r="A148" s="2" t="str">
        <f ca="1">IFERROR(__xludf.DUMMYFUNCTION("""COMPUTED_VALUE"""),"
CLETUS CATERING COLOMBIA S A S")</f>
        <v xml:space="preserve">
CLETUS CATERING COLOMBIA S A S</v>
      </c>
    </row>
    <row r="149" spans="1:1" ht="12.75" x14ac:dyDescent="0.2">
      <c r="A149" s="2" t="str">
        <f ca="1">IFERROR(__xludf.DUMMYFUNCTION("""COMPUTED_VALUE"""),"FRISBY S.A. BIC ")</f>
        <v xml:space="preserve">FRISBY S.A. BIC </v>
      </c>
    </row>
    <row r="150" spans="1:1" ht="12.75" x14ac:dyDescent="0.2">
      <c r="A150" s="2" t="str">
        <f ca="1">IFERROR(__xludf.DUMMYFUNCTION("""COMPUTED_VALUE"""),"VOLVO GROUP COLOMBIA SAS")</f>
        <v>VOLVO GROUP COLOMBIA SAS</v>
      </c>
    </row>
    <row r="151" spans="1:1" ht="12.75" x14ac:dyDescent="0.2">
      <c r="A151" s="2" t="str">
        <f ca="1">IFERROR(__xludf.DUMMYFUNCTION("""COMPUTED_VALUE"""),"SUNCOLOMBIA SAS")</f>
        <v>SUNCOLOMBIA SAS</v>
      </c>
    </row>
    <row r="152" spans="1:1" ht="12.75" x14ac:dyDescent="0.2">
      <c r="A152" s="2" t="str">
        <f ca="1">IFERROR(__xludf.DUMMYFUNCTION("""COMPUTED_VALUE"""),"BRAVOAUTO SAS")</f>
        <v>BRAVOAUTO SAS</v>
      </c>
    </row>
    <row r="153" spans="1:1" ht="12.75" x14ac:dyDescent="0.2">
      <c r="A153" s="2" t="str">
        <f ca="1">IFERROR(__xludf.DUMMYFUNCTION("""COMPUTED_VALUE"""),"PRACODIDACOL SAS")</f>
        <v>PRACODIDACOL SAS</v>
      </c>
    </row>
    <row r="154" spans="1:1" ht="12.75" x14ac:dyDescent="0.2">
      <c r="A154" s="2" t="str">
        <f ca="1">IFERROR(__xludf.DUMMYFUNCTION("""COMPUTED_VALUE"""),"COMESTIBLES RICOS S.A.S")</f>
        <v>COMESTIBLES RICOS S.A.S</v>
      </c>
    </row>
    <row r="155" spans="1:1" ht="12.75" x14ac:dyDescent="0.2">
      <c r="A155" s="2" t="str">
        <f ca="1">IFERROR(__xludf.DUMMYFUNCTION("""COMPUTED_VALUE"""),"COMWARE")</f>
        <v>COMWARE</v>
      </c>
    </row>
    <row r="156" spans="1:1" ht="12.75" x14ac:dyDescent="0.2">
      <c r="A156" s="2" t="str">
        <f ca="1">IFERROR(__xludf.DUMMYFUNCTION("""COMPUTED_VALUE"""),"FUNDACION LOS PISINGOS")</f>
        <v>FUNDACION LOS PISINGOS</v>
      </c>
    </row>
    <row r="157" spans="1:1" ht="25.5" x14ac:dyDescent="0.2">
      <c r="A157" s="2" t="str">
        <f ca="1">IFERROR(__xludf.DUMMYFUNCTION("""COMPUTED_VALUE"""),"COMERCIALIZADORA INTERNACIONAL FLORES DE APOSENTOS")</f>
        <v>COMERCIALIZADORA INTERNACIONAL FLORES DE APOSENTOS</v>
      </c>
    </row>
    <row r="158" spans="1:1" ht="12.75" x14ac:dyDescent="0.2">
      <c r="A158" s="2" t="str">
        <f ca="1">IFERROR(__xludf.DUMMYFUNCTION("""COMPUTED_VALUE"""),"UNIVERSIDAD EAN")</f>
        <v>UNIVERSIDAD EAN</v>
      </c>
    </row>
    <row r="159" spans="1:1" ht="12.75" x14ac:dyDescent="0.2">
      <c r="A159" s="2" t="str">
        <f ca="1">IFERROR(__xludf.DUMMYFUNCTION("""COMPUTED_VALUE"""),"INCHCAPE GLOBAL BUSINESS SERVICES SAS")</f>
        <v>INCHCAPE GLOBAL BUSINESS SERVICES SAS</v>
      </c>
    </row>
    <row r="160" spans="1:1" ht="12.75" x14ac:dyDescent="0.2">
      <c r="A160" s="2" t="str">
        <f ca="1">IFERROR(__xludf.DUMMYFUNCTION("""COMPUTED_VALUE"""),"INCHCAPE DIGITAL DELIVERY CENTER COLOMBIA")</f>
        <v>INCHCAPE DIGITAL DELIVERY CENTER COLOMBIA</v>
      </c>
    </row>
    <row r="161" spans="1:1" ht="12.75" x14ac:dyDescent="0.2">
      <c r="A161" s="2" t="str">
        <f ca="1">IFERROR(__xludf.DUMMYFUNCTION("""COMPUTED_VALUE"""),"DERCO AGENCIA DE SEGUROS LTDA")</f>
        <v>DERCO AGENCIA DE SEGUROS LTDA</v>
      </c>
    </row>
    <row r="162" spans="1:1" ht="12.75" x14ac:dyDescent="0.2">
      <c r="A162" s="2" t="str">
        <f ca="1">IFERROR(__xludf.DUMMYFUNCTION("""COMPUTED_VALUE"""),"INMOBILIARIA INCHCAPE COLOMBIA SAS")</f>
        <v>INMOBILIARIA INCHCAPE COLOMBIA SAS</v>
      </c>
    </row>
    <row r="163" spans="1:1" ht="12.75" x14ac:dyDescent="0.2">
      <c r="A163" s="2" t="str">
        <f ca="1">IFERROR(__xludf.DUMMYFUNCTION("""COMPUTED_VALUE"""),"MATRASE SAS")</f>
        <v>MATRASE SAS</v>
      </c>
    </row>
    <row r="164" spans="1:1" ht="12.75" x14ac:dyDescent="0.2">
      <c r="A164" s="2" t="str">
        <f ca="1">IFERROR(__xludf.DUMMYFUNCTION("""COMPUTED_VALUE"""),"DERCO COLOMBIA SAS")</f>
        <v>DERCO COLOMBIA SAS</v>
      </c>
    </row>
    <row r="165" spans="1:1" ht="12.75" x14ac:dyDescent="0.2">
      <c r="A165" s="2" t="str">
        <f ca="1">IFERROR(__xludf.DUMMYFUNCTION("""COMPUTED_VALUE"""),"DISTRIBUIDORA HINO DE COLOMBIA SAS")</f>
        <v>DISTRIBUIDORA HINO DE COLOMBIA SAS</v>
      </c>
    </row>
    <row r="166" spans="1:1" ht="12.75" x14ac:dyDescent="0.2">
      <c r="A166" s="2" t="str">
        <f ca="1">IFERROR(__xludf.DUMMYFUNCTION("""COMPUTED_VALUE"""),"CPS INFRAESTRUCTURAS COLOMBIA SAS")</f>
        <v>CPS INFRAESTRUCTURAS COLOMBIA SAS</v>
      </c>
    </row>
    <row r="167" spans="1:1" ht="25.5" x14ac:dyDescent="0.2">
      <c r="A167" s="2" t="str">
        <f ca="1">IFERROR(__xludf.DUMMYFUNCTION("""COMPUTED_VALUE"""),"CPS INFRAESTRUCTURAS MOVILIDAD Y MEDIO AMBIENTE SL SUCURSAL COLOMBIA")</f>
        <v>CPS INFRAESTRUCTURAS MOVILIDAD Y MEDIO AMBIENTE SL SUCURSAL COLOMBIA</v>
      </c>
    </row>
    <row r="168" spans="1:1" ht="12.75" x14ac:dyDescent="0.2">
      <c r="A168" s="2" t="str">
        <f ca="1">IFERROR(__xludf.DUMMYFUNCTION("""COMPUTED_VALUE"""),"MASSER S.A.S")</f>
        <v>MASSER S.A.S</v>
      </c>
    </row>
    <row r="169" spans="1:1" ht="12.75" x14ac:dyDescent="0.2">
      <c r="A169" s="2" t="str">
        <f ca="1">IFERROR(__xludf.DUMMYFUNCTION("""COMPUTED_VALUE"""),"MASSER S.A.S - TDC Compostela")</f>
        <v>MASSER S.A.S - TDC Compostela</v>
      </c>
    </row>
    <row r="170" spans="1:1" ht="12.75" x14ac:dyDescent="0.2">
      <c r="A170" s="2" t="str">
        <f ca="1">IFERROR(__xludf.DUMMYFUNCTION("""COMPUTED_VALUE"""),"INCODEPF S.A")</f>
        <v>INCODEPF S.A</v>
      </c>
    </row>
    <row r="171" spans="1:1" ht="12.75" x14ac:dyDescent="0.2">
      <c r="A171" s="2" t="str">
        <f ca="1">IFERROR(__xludf.DUMMYFUNCTION("""COMPUTED_VALUE"""),"DISMAFUSA")</f>
        <v>DISMAFUSA</v>
      </c>
    </row>
    <row r="172" spans="1:1" ht="12.75" x14ac:dyDescent="0.2">
      <c r="A172" s="2" t="str">
        <f ca="1">IFERROR(__xludf.DUMMYFUNCTION("""COMPUTED_VALUE"""),"JARDINES DEL RENACER")</f>
        <v>JARDINES DEL RENACER</v>
      </c>
    </row>
    <row r="173" spans="1:1" ht="25.5" x14ac:dyDescent="0.2">
      <c r="A173" s="2" t="str">
        <f ca="1">IFERROR(__xludf.DUMMYFUNCTION("""COMPUTED_VALUE"""),"        
SUPERTIENDAS Y DROGUERÍAS OLIMPICA")</f>
        <v xml:space="preserve">        
SUPERTIENDAS Y DROGUERÍAS OLIMPICA</v>
      </c>
    </row>
    <row r="174" spans="1:1" ht="25.5" x14ac:dyDescent="0.2">
      <c r="A174" s="2" t="str">
        <f ca="1">IFERROR(__xludf.DUMMYFUNCTION("""COMPUTED_VALUE"""),"        
TF AUDITORES Y ASESORES SAS BIC")</f>
        <v xml:space="preserve">        
TF AUDITORES Y ASESORES SAS BIC</v>
      </c>
    </row>
    <row r="175" spans="1:1" ht="38.25" x14ac:dyDescent="0.2">
      <c r="A175" s="2" t="str">
        <f ca="1">IFERROR(__xludf.DUMMYFUNCTION("""COMPUTED_VALUE"""),"
GEOCOL CONSULTORES SA 
")</f>
        <v xml:space="preserve">
GEOCOL CONSULTORES SA 
</v>
      </c>
    </row>
    <row r="176" spans="1:1" ht="12.75" x14ac:dyDescent="0.2">
      <c r="A176" s="2" t="str">
        <f ca="1">IFERROR(__xludf.DUMMYFUNCTION("""COMPUTED_VALUE"""),"TGT GAMAS S.A.S")</f>
        <v>TGT GAMAS S.A.S</v>
      </c>
    </row>
    <row r="177" spans="1:1" ht="12.75" x14ac:dyDescent="0.2">
      <c r="A177" s="2" t="str">
        <f ca="1">IFERROR(__xludf.DUMMYFUNCTION("""COMPUTED_VALUE"""),"CERES BOGOTÁ SAS")</f>
        <v>CERES BOGOTÁ SAS</v>
      </c>
    </row>
    <row r="178" spans="1:1" ht="12.75" x14ac:dyDescent="0.2">
      <c r="A178" s="2" t="str">
        <f ca="1">IFERROR(__xludf.DUMMYFUNCTION("""COMPUTED_VALUE"""),"PETROLEUM GOLD SERVICES S.A.S ")</f>
        <v xml:space="preserve">PETROLEUM GOLD SERVICES S.A.S </v>
      </c>
    </row>
    <row r="179" spans="1:1" ht="12.75" x14ac:dyDescent="0.2">
      <c r="A179" s="2" t="str">
        <f ca="1">IFERROR(__xludf.DUMMYFUNCTION("""COMPUTED_VALUE"""),"IMPULSO TEMPORAL SAS ")</f>
        <v xml:space="preserve">IMPULSO TEMPORAL SAS </v>
      </c>
    </row>
    <row r="180" spans="1:1" ht="12.75" x14ac:dyDescent="0.2">
      <c r="A180" s="2" t="str">
        <f ca="1">IFERROR(__xludf.DUMMYFUNCTION("""COMPUTED_VALUE"""),"PIPE SUPPLY AND SERVICES SAS")</f>
        <v>PIPE SUPPLY AND SERVICES SAS</v>
      </c>
    </row>
    <row r="181" spans="1:1" ht="12.75" x14ac:dyDescent="0.2">
      <c r="A181" s="2" t="str">
        <f ca="1">IFERROR(__xludf.DUMMYFUNCTION("""COMPUTED_VALUE"""),"DHL EXPRESS COLOMBIA LTDA")</f>
        <v>DHL EXPRESS COLOMBIA LTDA</v>
      </c>
    </row>
    <row r="182" spans="1:1" ht="12.75" x14ac:dyDescent="0.2">
      <c r="A182" s="2" t="str">
        <f ca="1">IFERROR(__xludf.DUMMYFUNCTION("""COMPUTED_VALUE"""),"GRÚAS &amp; EQUIPOS")</f>
        <v>GRÚAS &amp; EQUIPOS</v>
      </c>
    </row>
    <row r="183" spans="1:1" ht="12.75" x14ac:dyDescent="0.2">
      <c r="A183" s="2" t="str">
        <f ca="1">IFERROR(__xludf.DUMMYFUNCTION("""COMPUTED_VALUE"""),"MEGAOBRAS URBANAS BHL SAS")</f>
        <v>MEGAOBRAS URBANAS BHL SAS</v>
      </c>
    </row>
    <row r="184" spans="1:1" ht="12.75" x14ac:dyDescent="0.2">
      <c r="A184" s="2" t="str">
        <f ca="1">IFERROR(__xludf.DUMMYFUNCTION("""COMPUTED_VALUE"""),"BHL CONSTRUCCIONES SAS")</f>
        <v>BHL CONSTRUCCIONES SAS</v>
      </c>
    </row>
    <row r="185" spans="1:1" ht="12.75" x14ac:dyDescent="0.2">
      <c r="A185" s="2" t="str">
        <f ca="1">IFERROR(__xludf.DUMMYFUNCTION("""COMPUTED_VALUE"""),"SAC BE VENTURES")</f>
        <v>SAC BE VENTURES</v>
      </c>
    </row>
    <row r="186" spans="1:1" ht="12.75" x14ac:dyDescent="0.2">
      <c r="A186" s="2" t="str">
        <f ca="1">IFERROR(__xludf.DUMMYFUNCTION("""COMPUTED_VALUE"""),"AMBIENTII CONSTRUCTORA INMOBILIARIA S.A.S")</f>
        <v>AMBIENTII CONSTRUCTORA INMOBILIARIA S.A.S</v>
      </c>
    </row>
    <row r="187" spans="1:1" ht="12.75" x14ac:dyDescent="0.2">
      <c r="A187" s="2" t="str">
        <f ca="1">IFERROR(__xludf.DUMMYFUNCTION("""COMPUTED_VALUE"""),"EQUIPOS Y TERRATEST S A S")</f>
        <v>EQUIPOS Y TERRATEST S A S</v>
      </c>
    </row>
    <row r="188" spans="1:1" ht="12.75" x14ac:dyDescent="0.2">
      <c r="A188" s="2" t="str">
        <f ca="1">IFERROR(__xludf.DUMMYFUNCTION("""COMPUTED_VALUE"""),"ALTIPAL S.A.")</f>
        <v>ALTIPAL S.A.</v>
      </c>
    </row>
    <row r="189" spans="1:1" ht="12.75" x14ac:dyDescent="0.2">
      <c r="A189" s="2" t="str">
        <f ca="1">IFERROR(__xludf.DUMMYFUNCTION("""COMPUTED_VALUE"""),"MORE PRODUCTS SAS - BOGOTA")</f>
        <v>MORE PRODUCTS SAS - BOGOTA</v>
      </c>
    </row>
    <row r="190" spans="1:1" ht="12.75" x14ac:dyDescent="0.2">
      <c r="A190" s="2" t="str">
        <f ca="1">IFERROR(__xludf.DUMMYFUNCTION("""COMPUTED_VALUE"""),"MORE PRODUCTS SAS - FUNZA")</f>
        <v>MORE PRODUCTS SAS - FUNZA</v>
      </c>
    </row>
    <row r="191" spans="1:1" ht="12.75" x14ac:dyDescent="0.2">
      <c r="A191" s="2" t="str">
        <f ca="1">IFERROR(__xludf.DUMMYFUNCTION("""COMPUTED_VALUE"""),"EMTELCO S.A")</f>
        <v>EMTELCO S.A</v>
      </c>
    </row>
    <row r="192" spans="1:1" ht="25.5" x14ac:dyDescent="0.2">
      <c r="A192" s="2" t="str">
        <f ca="1">IFERROR(__xludf.DUMMYFUNCTION("""COMPUTED_VALUE"""),"MINISTERIO DE LAS CULTURAS, LAS ARTES Y LOS SABERES")</f>
        <v>MINISTERIO DE LAS CULTURAS, LAS ARTES Y LOS SABERES</v>
      </c>
    </row>
    <row r="193" spans="1:1" ht="12.75" x14ac:dyDescent="0.2">
      <c r="A193" s="2" t="str">
        <f ca="1">IFERROR(__xludf.DUMMYFUNCTION("""COMPUTED_VALUE"""),"TELEMÁTICA SAS.")</f>
        <v>TELEMÁTICA SAS.</v>
      </c>
    </row>
    <row r="194" spans="1:1" ht="12.75" x14ac:dyDescent="0.2">
      <c r="A194" s="2" t="str">
        <f ca="1">IFERROR(__xludf.DUMMYFUNCTION("""COMPUTED_VALUE"""),"EQUIPOS Y TERRATEST SAS")</f>
        <v>EQUIPOS Y TERRATEST SAS</v>
      </c>
    </row>
    <row r="195" spans="1:1" ht="25.5" x14ac:dyDescent="0.2">
      <c r="A195" s="2" t="str">
        <f ca="1">IFERROR(__xludf.DUMMYFUNCTION("""COMPUTED_VALUE"""),"
ETIQUETAS Y ETIQUETADOS SAS")</f>
        <v xml:space="preserve">
ETIQUETAS Y ETIQUETADOS SAS</v>
      </c>
    </row>
    <row r="196" spans="1:1" ht="12.75" x14ac:dyDescent="0.2">
      <c r="A196" s="2" t="str">
        <f ca="1">IFERROR(__xludf.DUMMYFUNCTION("""COMPUTED_VALUE"""),"BANCO DE OCCIDENTE S.A")</f>
        <v>BANCO DE OCCIDENTE S.A</v>
      </c>
    </row>
    <row r="197" spans="1:1" ht="12.75" x14ac:dyDescent="0.2">
      <c r="A197" s="2" t="str">
        <f ca="1">IFERROR(__xludf.DUMMYFUNCTION("""COMPUTED_VALUE"""),"EXPRESO AGENCIA DE VIAJES CAFAM")</f>
        <v>EXPRESO AGENCIA DE VIAJES CAFAM</v>
      </c>
    </row>
    <row r="198" spans="1:1" ht="12.75" x14ac:dyDescent="0.2">
      <c r="A198" s="2" t="str">
        <f ca="1">IFERROR(__xludf.DUMMYFUNCTION("""COMPUTED_VALUE"""),"UNIVISION COLOMBIA S A S")</f>
        <v>UNIVISION COLOMBIA S A S</v>
      </c>
    </row>
    <row r="199" spans="1:1" ht="12.75" x14ac:dyDescent="0.2">
      <c r="A199" s="2" t="str">
        <f ca="1">IFERROR(__xludf.DUMMYFUNCTION("""COMPUTED_VALUE"""),"CORPARQUES")</f>
        <v>CORPARQUES</v>
      </c>
    </row>
    <row r="200" spans="1:1" ht="12.75" x14ac:dyDescent="0.2">
      <c r="A200" s="9" t="str">
        <f ca="1">IFERROR(__xludf.DUMMYFUNCTION("""COMPUTED_VALUE"""),"FALABELLA.COM")</f>
        <v>FALABELLA.COM</v>
      </c>
    </row>
    <row r="201" spans="1:1" ht="38.25" x14ac:dyDescent="0.2">
      <c r="A201" s="2" t="str">
        <f ca="1">IFERROR(__xludf.DUMMYFUNCTION("""COMPUTED_VALUE"""),"
KPMG S.A.S")</f>
        <v xml:space="preserve">
KPMG S.A.S</v>
      </c>
    </row>
    <row r="202" spans="1:1" ht="12.75" x14ac:dyDescent="0.2">
      <c r="A202" s="2" t="str">
        <f ca="1">IFERROR(__xludf.DUMMYFUNCTION("""COMPUTED_VALUE"""),"KPMG ADVISORY, TAX &amp; LEGAL S.A.S.")</f>
        <v>KPMG ADVISORY, TAX &amp; LEGAL S.A.S.</v>
      </c>
    </row>
    <row r="203" spans="1:1" ht="12.75" x14ac:dyDescent="0.2">
      <c r="A203" s="2" t="str">
        <f ca="1">IFERROR(__xludf.DUMMYFUNCTION("""COMPUTED_VALUE"""),"TELEMÁTICA SAS.")</f>
        <v>TELEMÁTICA SAS.</v>
      </c>
    </row>
    <row r="204" spans="1:1" ht="12.75" x14ac:dyDescent="0.2">
      <c r="A204" s="9" t="str">
        <f ca="1">IFERROR(__xludf.DUMMYFUNCTION("""COMPUTED_VALUE"""),"FALABELLA.COM")</f>
        <v>FALABELLA.COM</v>
      </c>
    </row>
    <row r="205" spans="1:1" ht="12.75" x14ac:dyDescent="0.2">
      <c r="A205" s="2" t="str">
        <f ca="1">IFERROR(__xludf.DUMMYFUNCTION("""COMPUTED_VALUE"""),"CORPARQUES")</f>
        <v>CORPARQUES</v>
      </c>
    </row>
    <row r="206" spans="1:1" ht="12.75" x14ac:dyDescent="0.2">
      <c r="A206" s="2" t="str">
        <f ca="1">IFERROR(__xludf.DUMMYFUNCTION("""COMPUTED_VALUE"""),"BANCO DE LA REPÚBLICA")</f>
        <v>BANCO DE LA REPÚBLICA</v>
      </c>
    </row>
    <row r="207" spans="1:1" ht="12.75" x14ac:dyDescent="0.2">
      <c r="A207" s="2" t="str">
        <f ca="1">IFERROR(__xludf.DUMMYFUNCTION("""COMPUTED_VALUE"""),"SOLETANCHE BACHY COLOMBIA SAS")</f>
        <v>SOLETANCHE BACHY COLOMBIA SAS</v>
      </c>
    </row>
    <row r="208" spans="1:1" ht="12.75" x14ac:dyDescent="0.2">
      <c r="A208" s="2" t="str">
        <f ca="1">IFERROR(__xludf.DUMMYFUNCTION("""COMPUTED_VALUE"""),"CONSTRUCTORA CAPITAL BogotáSAS")</f>
        <v>CONSTRUCTORA CAPITAL BogotáSAS</v>
      </c>
    </row>
    <row r="209" spans="1:1" ht="12.75" x14ac:dyDescent="0.2">
      <c r="A209" s="2" t="str">
        <f ca="1">IFERROR(__xludf.DUMMYFUNCTION("""COMPUTED_VALUE"""),"KONFYTEX SAS")</f>
        <v>KONFYTEX SAS</v>
      </c>
    </row>
    <row r="210" spans="1:1" ht="12.75" x14ac:dyDescent="0.2">
      <c r="A210" s="2" t="str">
        <f ca="1">IFERROR(__xludf.DUMMYFUNCTION("""COMPUTED_VALUE"""),"CLEAN HOUSE'S")</f>
        <v>CLEAN HOUSE'S</v>
      </c>
    </row>
    <row r="211" spans="1:1" ht="25.5" x14ac:dyDescent="0.2">
      <c r="A211" s="2" t="str">
        <f ca="1">IFERROR(__xludf.DUMMYFUNCTION("""COMPUTED_VALUE"""),"SECRETARÍA JURÍDICA DISTRITAL ALCALDÍA MAYOR DE BOGOTÁ")</f>
        <v>SECRETARÍA JURÍDICA DISTRITAL ALCALDÍA MAYOR DE BOGOTÁ</v>
      </c>
    </row>
    <row r="212" spans="1:1" ht="12.75" x14ac:dyDescent="0.2">
      <c r="A212" s="2" t="str">
        <f ca="1">IFERROR(__xludf.DUMMYFUNCTION("""COMPUTED_VALUE"""),"UNISYS DE COLOMBIA S A")</f>
        <v>UNISYS DE COLOMBIA S A</v>
      </c>
    </row>
    <row r="213" spans="1:1" ht="12.75" x14ac:dyDescent="0.2">
      <c r="A213" s="2" t="str">
        <f ca="1">IFERROR(__xludf.DUMMYFUNCTION("""COMPUTED_VALUE"""),"APPLUS NORCONTROL COLOMBIA LTDA")</f>
        <v>APPLUS NORCONTROL COLOMBIA LTDA</v>
      </c>
    </row>
    <row r="214" spans="1:1" ht="12.75" x14ac:dyDescent="0.2">
      <c r="A214" s="2" t="str">
        <f ca="1">IFERROR(__xludf.DUMMYFUNCTION("""COMPUTED_VALUE"""),"BANCO FINANDINA - SEDE SA BIC Chía")</f>
        <v>BANCO FINANDINA - SEDE SA BIC Chía</v>
      </c>
    </row>
    <row r="215" spans="1:1" ht="25.5" x14ac:dyDescent="0.2">
      <c r="A215" s="2" t="str">
        <f ca="1">IFERROR(__xludf.DUMMYFUNCTION("""COMPUTED_VALUE"""),"BANCO BILBAO VIZCAYA ARGENTARIA COLOMBIA S A")</f>
        <v>BANCO BILBAO VIZCAYA ARGENTARIA COLOMBIA S A</v>
      </c>
    </row>
    <row r="216" spans="1:1" ht="12.75" x14ac:dyDescent="0.2">
      <c r="A216" s="2" t="str">
        <f ca="1">IFERROR(__xludf.DUMMYFUNCTION("""COMPUTED_VALUE"""),"HORATIO CO SAS")</f>
        <v>HORATIO CO SAS</v>
      </c>
    </row>
    <row r="217" spans="1:1" ht="12.75" x14ac:dyDescent="0.2">
      <c r="A217" s="2" t="str">
        <f ca="1">IFERROR(__xludf.DUMMYFUNCTION("""COMPUTED_VALUE"""),"INCHCAPE COLOMBIA SAS")</f>
        <v>INCHCAPE COLOMBIA SAS</v>
      </c>
    </row>
    <row r="218" spans="1:1" ht="12.75" x14ac:dyDescent="0.2">
      <c r="A218" s="2" t="str">
        <f ca="1">IFERROR(__xludf.DUMMYFUNCTION("""COMPUTED_VALUE"""),"PHARI S.A.S")</f>
        <v>PHARI S.A.S</v>
      </c>
    </row>
    <row r="219" spans="1:1" ht="12.75" x14ac:dyDescent="0.2">
      <c r="A219" s="2" t="str">
        <f ca="1">IFERROR(__xludf.DUMMYFUNCTION("""COMPUTED_VALUE"""),"PHARI TECH SERVICES S.A.S")</f>
        <v>PHARI TECH SERVICES S.A.S</v>
      </c>
    </row>
    <row r="220" spans="1:1" ht="12.75" x14ac:dyDescent="0.2">
      <c r="A220" s="2" t="str">
        <f ca="1">IFERROR(__xludf.DUMMYFUNCTION("""COMPUTED_VALUE"""),"VIGIA SERVICIO ESPECIAL S.A.S.")</f>
        <v>VIGIA SERVICIO ESPECIAL S.A.S.</v>
      </c>
    </row>
    <row r="221" spans="1:1" ht="12.75" x14ac:dyDescent="0.2">
      <c r="A221" s="2" t="str">
        <f ca="1">IFERROR(__xludf.DUMMYFUNCTION("""COMPUTED_VALUE"""),"TRUCKSLOGIC S.A.S")</f>
        <v>TRUCKSLOGIC S.A.S</v>
      </c>
    </row>
    <row r="222" spans="1:1" ht="12.75" x14ac:dyDescent="0.2">
      <c r="A222" s="2" t="str">
        <f ca="1">IFERROR(__xludf.DUMMYFUNCTION("""COMPUTED_VALUE"""),"ENERGIKA SOLUTIONS S.A.S. E.S.P.")</f>
        <v>ENERGIKA SOLUTIONS S.A.S. E.S.P.</v>
      </c>
    </row>
    <row r="223" spans="1:1" ht="25.5" x14ac:dyDescent="0.2">
      <c r="A223" s="2" t="str">
        <f ca="1">IFERROR(__xludf.DUMMYFUNCTION("""COMPUTED_VALUE"""),"PRODYGYTEK PROCESS DOCUMENT AND DATA SOLUTIONS S. A. S.")</f>
        <v>PRODYGYTEK PROCESS DOCUMENT AND DATA SOLUTIONS S. A. S.</v>
      </c>
    </row>
    <row r="224" spans="1:1" ht="25.5" x14ac:dyDescent="0.2">
      <c r="A224" s="2" t="str">
        <f ca="1">IFERROR(__xludf.DUMMYFUNCTION("""COMPUTED_VALUE"""),"FUNDACION CARDIO INFANTIL - INSTITUTO DE CARDIOLOGIA")</f>
        <v>FUNDACION CARDIO INFANTIL - INSTITUTO DE CARDIOLOGIA</v>
      </c>
    </row>
    <row r="225" spans="1:1" ht="12.75" x14ac:dyDescent="0.2">
      <c r="A225" s="2" t="str">
        <f ca="1">IFERROR(__xludf.DUMMYFUNCTION("""COMPUTED_VALUE"""),"DASEB COMPUTO SAS")</f>
        <v>DASEB COMPUTO SAS</v>
      </c>
    </row>
    <row r="226" spans="1:1" ht="12.75" x14ac:dyDescent="0.2">
      <c r="A226" s="2" t="str">
        <f ca="1">IFERROR(__xludf.DUMMYFUNCTION("""COMPUTED_VALUE"""),"MEJIA Y CIA S.A")</f>
        <v>MEJIA Y CIA S.A</v>
      </c>
    </row>
    <row r="227" spans="1:1" ht="12.75" x14ac:dyDescent="0.2">
      <c r="A227" s="2" t="str">
        <f ca="1">IFERROR(__xludf.DUMMYFUNCTION("""COMPUTED_VALUE"""),"FINANCIERA DE DESARROLLO NACIONAL SA")</f>
        <v>FINANCIERA DE DESARROLLO NACIONAL SA</v>
      </c>
    </row>
    <row r="228" spans="1:1" ht="12.75" x14ac:dyDescent="0.2">
      <c r="A228" s="2" t="str">
        <f ca="1">IFERROR(__xludf.DUMMYFUNCTION("""COMPUTED_VALUE"""),"IKSO S.A.S")</f>
        <v>IKSO S.A.S</v>
      </c>
    </row>
    <row r="229" spans="1:1" ht="12.75" x14ac:dyDescent="0.2">
      <c r="A229" s="2" t="str">
        <f ca="1">IFERROR(__xludf.DUMMYFUNCTION("""COMPUTED_VALUE"""),"PACTIA SAS")</f>
        <v>PACTIA SAS</v>
      </c>
    </row>
    <row r="230" spans="1:1" ht="12.75" x14ac:dyDescent="0.2">
      <c r="A230" s="2" t="str">
        <f ca="1">IFERROR(__xludf.DUMMYFUNCTION("""COMPUTED_VALUE"""),"ECOBIOR SAS ESP")</f>
        <v>ECOBIOR SAS ESP</v>
      </c>
    </row>
    <row r="231" spans="1:1" ht="12.75" x14ac:dyDescent="0.2">
      <c r="A231" s="2" t="str">
        <f ca="1">IFERROR(__xludf.DUMMYFUNCTION("""COMPUTED_VALUE"""),"NUTRIALIMENTOS CARNICOS SAS")</f>
        <v>NUTRIALIMENTOS CARNICOS SAS</v>
      </c>
    </row>
    <row r="232" spans="1:1" ht="12.75" x14ac:dyDescent="0.2">
      <c r="A232" s="2" t="str">
        <f ca="1">IFERROR(__xludf.DUMMYFUNCTION("""COMPUTED_VALUE"""),"BERLITZ")</f>
        <v>BERLITZ</v>
      </c>
    </row>
    <row r="233" spans="1:1" ht="12.75" x14ac:dyDescent="0.2">
      <c r="A233" s="2" t="str">
        <f ca="1">IFERROR(__xludf.DUMMYFUNCTION("""COMPUTED_VALUE"""),"RASCHELTEX INTERNATIONAL S.A.")</f>
        <v>RASCHELTEX INTERNATIONAL S.A.</v>
      </c>
    </row>
    <row r="234" spans="1:1" ht="12.75" x14ac:dyDescent="0.2">
      <c r="A234" s="2" t="str">
        <f ca="1">IFERROR(__xludf.DUMMYFUNCTION("""COMPUTED_VALUE"""),"ABC DE SERVICIOS S.A.S")</f>
        <v>ABC DE SERVICIOS S.A.S</v>
      </c>
    </row>
    <row r="235" spans="1:1" ht="12.75" x14ac:dyDescent="0.2">
      <c r="A235" s="2" t="str">
        <f ca="1">IFERROR(__xludf.DUMMYFUNCTION("""COMPUTED_VALUE"""),"ABBOTT LABORATORIES DE COLOMBIA SAS")</f>
        <v>ABBOTT LABORATORIES DE COLOMBIA SAS</v>
      </c>
    </row>
    <row r="236" spans="1:1" ht="12.75" x14ac:dyDescent="0.2">
      <c r="A236" s="2" t="str">
        <f ca="1">IFERROR(__xludf.DUMMYFUNCTION("""COMPUTED_VALUE"""),"MORPHO TRAVEL COLOMBIA SAS")</f>
        <v>MORPHO TRAVEL COLOMBIA SAS</v>
      </c>
    </row>
    <row r="237" spans="1:1" ht="25.5" x14ac:dyDescent="0.2">
      <c r="A237" s="2" t="str">
        <f ca="1">IFERROR(__xludf.DUMMYFUNCTION("""COMPUTED_VALUE"""),"NACIONAL DE SEGUROS S A COMPAÑIA DE SEGUROS GENERALES")</f>
        <v>NACIONAL DE SEGUROS S A COMPAÑIA DE SEGUROS GENERALES</v>
      </c>
    </row>
    <row r="238" spans="1:1" ht="12.75" x14ac:dyDescent="0.2">
      <c r="A238" s="2" t="str">
        <f ca="1">IFERROR(__xludf.DUMMYFUNCTION("""COMPUTED_VALUE"""),"EDU LABS")</f>
        <v>EDU LABS</v>
      </c>
    </row>
    <row r="239" spans="1:1" ht="12.75" x14ac:dyDescent="0.2">
      <c r="A239" s="2" t="str">
        <f ca="1">IFERROR(__xludf.DUMMYFUNCTION("""COMPUTED_VALUE"""),"SISMEDICA SERVICIOS DE AMBULANCIAS")</f>
        <v>SISMEDICA SERVICIOS DE AMBULANCIAS</v>
      </c>
    </row>
    <row r="240" spans="1:1" ht="12.75" x14ac:dyDescent="0.2">
      <c r="A240" s="2" t="str">
        <f ca="1">IFERROR(__xludf.DUMMYFUNCTION("""COMPUTED_VALUE"""),"COLTANQUES S.A.S.")</f>
        <v>COLTANQUES S.A.S.</v>
      </c>
    </row>
    <row r="241" spans="1:1" ht="25.5" x14ac:dyDescent="0.2">
      <c r="A241" s="2" t="str">
        <f ca="1">IFERROR(__xludf.DUMMYFUNCTION("""COMPUTED_VALUE"""),"COPROPIEDAD ZONA FRANCA DE BOGOTÁ- PROPIEDAD HORIZONTAL")</f>
        <v>COPROPIEDAD ZONA FRANCA DE BOGOTÁ- PROPIEDAD HORIZONTAL</v>
      </c>
    </row>
    <row r="242" spans="1:1" ht="12.75" x14ac:dyDescent="0.2">
      <c r="A242" s="2" t="str">
        <f ca="1">IFERROR(__xludf.DUMMYFUNCTION("""COMPUTED_VALUE"""),"CONSTRUCTORA LAS GALIAS SAS")</f>
        <v>CONSTRUCTORA LAS GALIAS SAS</v>
      </c>
    </row>
    <row r="243" spans="1:1" ht="25.5" x14ac:dyDescent="0.2">
      <c r="A243" s="2" t="str">
        <f ca="1">IFERROR(__xludf.DUMMYFUNCTION("""COMPUTED_VALUE"""),"SERVICIOS LOGISTICOS PARA LA INDUSTRIA LOGICMARD SAS")</f>
        <v>SERVICIOS LOGISTICOS PARA LA INDUSTRIA LOGICMARD SAS</v>
      </c>
    </row>
    <row r="244" spans="1:1" ht="12.75" x14ac:dyDescent="0.2">
      <c r="A244" s="2" t="str">
        <f ca="1">IFERROR(__xludf.DUMMYFUNCTION("""COMPUTED_VALUE"""),"DIALECTICA COLOMBIA S.A.S.")</f>
        <v>DIALECTICA COLOMBIA S.A.S.</v>
      </c>
    </row>
    <row r="245" spans="1:1" ht="12.75" x14ac:dyDescent="0.2">
      <c r="A245" s="2" t="str">
        <f ca="1">IFERROR(__xludf.DUMMYFUNCTION("""COMPUTED_VALUE"""),"PWC CONTADORES Y AUDITORES SAS")</f>
        <v>PWC CONTADORES Y AUDITORES SAS</v>
      </c>
    </row>
    <row r="246" spans="1:1" ht="25.5" x14ac:dyDescent="0.2">
      <c r="A246" s="2" t="str">
        <f ca="1">IFERROR(__xludf.DUMMYFUNCTION("""COMPUTED_VALUE"""),"L&amp;P INGENIEROS CONSTRUCTORES SAS - MOSQUERA")</f>
        <v>L&amp;P INGENIEROS CONSTRUCTORES SAS - MOSQUERA</v>
      </c>
    </row>
    <row r="247" spans="1:1" ht="12.75" x14ac:dyDescent="0.2">
      <c r="A247" s="2" t="str">
        <f ca="1">IFERROR(__xludf.DUMMYFUNCTION("""COMPUTED_VALUE"""),"L&amp;P INGENIEROS CONSTRUCTORES SAS - BOGOTÁ")</f>
        <v>L&amp;P INGENIEROS CONSTRUCTORES SAS - BOGOTÁ</v>
      </c>
    </row>
    <row r="248" spans="1:1" ht="25.5" x14ac:dyDescent="0.2">
      <c r="A248" s="2" t="str">
        <f ca="1">IFERROR(__xludf.DUMMYFUNCTION("""COMPUTED_VALUE"""),"EMASIVO 16 S.A.S.
 (hacer carpeta )")</f>
        <v>EMASIVO 16 S.A.S.
 (hacer carpeta )</v>
      </c>
    </row>
    <row r="249" spans="1:1" ht="25.5" x14ac:dyDescent="0.2">
      <c r="A249" s="2" t="str">
        <f ca="1">IFERROR(__xludf.DUMMYFUNCTION("""COMPUTED_VALUE"""),"EMASIVO 10 SAS
 (hacer carpeta )")</f>
        <v>EMASIVO 10 SAS
 (hacer carpeta )</v>
      </c>
    </row>
    <row r="250" spans="1:1" ht="12.75" x14ac:dyDescent="0.2">
      <c r="A250" s="2" t="str">
        <f ca="1">IFERROR(__xludf.DUMMYFUNCTION("""COMPUTED_VALUE"""),"CEVA FREIGHT MANAGEMENT DE COLOMBIA S.A.S.")</f>
        <v>CEVA FREIGHT MANAGEMENT DE COLOMBIA S.A.S.</v>
      </c>
    </row>
    <row r="251" spans="1:1" ht="12.75" x14ac:dyDescent="0.2">
      <c r="A251" s="2" t="str">
        <f ca="1">IFERROR(__xludf.DUMMYFUNCTION("""COMPUTED_VALUE"""),"COLTEFINANCIERA S.A")</f>
        <v>COLTEFINANCIERA S.A</v>
      </c>
    </row>
    <row r="252" spans="1:1" ht="12.75" x14ac:dyDescent="0.2">
      <c r="A252" s="2" t="str">
        <f ca="1">IFERROR(__xludf.DUMMYFUNCTION("""COMPUTED_VALUE"""),"LACTEOS LA ESMERALDA")</f>
        <v>LACTEOS LA ESMERALDA</v>
      </c>
    </row>
    <row r="253" spans="1:1" ht="12.75" x14ac:dyDescent="0.2">
      <c r="A253" s="2" t="str">
        <f ca="1">IFERROR(__xludf.DUMMYFUNCTION("""COMPUTED_VALUE"""),"EY OUTSOURCING SAS")</f>
        <v>EY OUTSOURCING SAS</v>
      </c>
    </row>
    <row r="254" spans="1:1" ht="12.75" x14ac:dyDescent="0.2">
      <c r="A254" s="2" t="str">
        <f ca="1">IFERROR(__xludf.DUMMYFUNCTION("""COMPUTED_VALUE"""),"ERNST &amp; YOUNG AUDIT SAS")</f>
        <v>ERNST &amp; YOUNG AUDIT SAS</v>
      </c>
    </row>
    <row r="255" spans="1:1" ht="12.75" x14ac:dyDescent="0.2">
      <c r="A255" s="2" t="str">
        <f ca="1">IFERROR(__xludf.DUMMYFUNCTION("""COMPUTED_VALUE"""),"ERNST &amp; YOUNG SAS")</f>
        <v>ERNST &amp; YOUNG SAS</v>
      </c>
    </row>
    <row r="256" spans="1:1" ht="12.75" x14ac:dyDescent="0.2">
      <c r="A256" s="2" t="str">
        <f ca="1">IFERROR(__xludf.DUMMYFUNCTION("""COMPUTED_VALUE"""),"SHERLEG LABORATORIES S.A.S.")</f>
        <v>SHERLEG LABORATORIES S.A.S.</v>
      </c>
    </row>
    <row r="257" spans="1:1" ht="12.75" x14ac:dyDescent="0.2">
      <c r="A257" s="2" t="str">
        <f ca="1">IFERROR(__xludf.DUMMYFUNCTION("""COMPUTED_VALUE"""),"ALPINA PRODUCTOS ALIMENTICIOS S.A.")</f>
        <v>ALPINA PRODUCTOS ALIMENTICIOS S.A.</v>
      </c>
    </row>
    <row r="258" spans="1:1" ht="12.75" x14ac:dyDescent="0.2">
      <c r="A258" s="2" t="str">
        <f ca="1">IFERROR(__xludf.DUMMYFUNCTION("""COMPUTED_VALUE"""),"TAKEDA COLOMBIA S.")</f>
        <v>TAKEDA COLOMBIA S.</v>
      </c>
    </row>
    <row r="259" spans="1:1" ht="12.75" x14ac:dyDescent="0.2">
      <c r="A259" s="2" t="str">
        <f ca="1">IFERROR(__xludf.DUMMYFUNCTION("""COMPUTED_VALUE"""),"UNIVERSIDAD DE LA SABANA")</f>
        <v>UNIVERSIDAD DE LA SABANA</v>
      </c>
    </row>
    <row r="260" spans="1:1" ht="12.75" x14ac:dyDescent="0.2">
      <c r="A260" s="2" t="str">
        <f ca="1">IFERROR(__xludf.DUMMYFUNCTION("""COMPUTED_VALUE"""),"BLUE ONE SOLUTIONS SAS")</f>
        <v>BLUE ONE SOLUTIONS SAS</v>
      </c>
    </row>
    <row r="261" spans="1:1" ht="12.75" x14ac:dyDescent="0.2">
      <c r="A261" s="2" t="str">
        <f ca="1">IFERROR(__xludf.DUMMYFUNCTION("""COMPUTED_VALUE"""),"SAMSONITE COLOMBIA SAS")</f>
        <v>SAMSONITE COLOMBIA SAS</v>
      </c>
    </row>
    <row r="262" spans="1:1" ht="12.75" x14ac:dyDescent="0.2">
      <c r="A262" s="2" t="str">
        <f ca="1">IFERROR(__xludf.DUMMYFUNCTION("""COMPUTED_VALUE"""),"SAMSONITE COLOMBIA SAS - PLAZA CLARO")</f>
        <v>SAMSONITE COLOMBIA SAS - PLAZA CLARO</v>
      </c>
    </row>
    <row r="263" spans="1:1" ht="12.75" x14ac:dyDescent="0.2">
      <c r="A263" s="2" t="str">
        <f ca="1">IFERROR(__xludf.DUMMYFUNCTION("""COMPUTED_VALUE"""),"DRAEGER COLOMBIA")</f>
        <v>DRAEGER COLOMBIA</v>
      </c>
    </row>
    <row r="264" spans="1:1" ht="12.75" x14ac:dyDescent="0.2">
      <c r="A264" s="2" t="str">
        <f ca="1">IFERROR(__xludf.DUMMYFUNCTION("""COMPUTED_VALUE"""),"CASA LUKER SA")</f>
        <v>CASA LUKER SA</v>
      </c>
    </row>
    <row r="265" spans="1:1" ht="12.75" x14ac:dyDescent="0.2">
      <c r="A265" s="2" t="str">
        <f ca="1">IFERROR(__xludf.DUMMYFUNCTION("""COMPUTED_VALUE"""),"COLLIERS INTERNATIONAL COLOMBIA SAS")</f>
        <v>COLLIERS INTERNATIONAL COLOMBIA SAS</v>
      </c>
    </row>
    <row r="266" spans="1:1" ht="12.75" x14ac:dyDescent="0.2">
      <c r="A266" s="2" t="str">
        <f ca="1">IFERROR(__xludf.DUMMYFUNCTION("""COMPUTED_VALUE"""),"ALIMENTOS POLAR COLOMBIA SAS")</f>
        <v>ALIMENTOS POLAR COLOMBIA SAS</v>
      </c>
    </row>
    <row r="267" spans="1:1" ht="12.75" x14ac:dyDescent="0.2">
      <c r="A267" s="2" t="str">
        <f ca="1">IFERROR(__xludf.DUMMYFUNCTION("""COMPUTED_VALUE"""),"TECNISISTEMAS LTDA")</f>
        <v>TECNISISTEMAS LTDA</v>
      </c>
    </row>
    <row r="268" spans="1:1" ht="12.75" x14ac:dyDescent="0.2">
      <c r="A268" s="2" t="str">
        <f ca="1">IFERROR(__xludf.DUMMYFUNCTION("""COMPUTED_VALUE"""),"BRAVO COLOMBIA SAS")</f>
        <v>BRAVO COLOMBIA SAS</v>
      </c>
    </row>
    <row r="269" spans="1:1" ht="12.75" x14ac:dyDescent="0.2">
      <c r="A269" s="2" t="str">
        <f ca="1">IFERROR(__xludf.DUMMYFUNCTION("""COMPUTED_VALUE"""),"SIS VIDA SAS")</f>
        <v>SIS VIDA SAS</v>
      </c>
    </row>
    <row r="270" spans="1:1" ht="12.75" x14ac:dyDescent="0.2">
      <c r="A270" s="2" t="str">
        <f ca="1">IFERROR(__xludf.DUMMYFUNCTION("""COMPUTED_VALUE"""),"ADMINISTRACIONES INTEGRALES BUEN VIVIR SAS")</f>
        <v>ADMINISTRACIONES INTEGRALES BUEN VIVIR SAS</v>
      </c>
    </row>
    <row r="271" spans="1:1" ht="12.75" x14ac:dyDescent="0.2">
      <c r="A271" s="2" t="str">
        <f ca="1">IFERROR(__xludf.DUMMYFUNCTION("""COMPUTED_VALUE"""),"VITALIS SACI")</f>
        <v>VITALIS SACI</v>
      </c>
    </row>
    <row r="272" spans="1:1" ht="12.75" x14ac:dyDescent="0.2">
      <c r="A272" s="2" t="str">
        <f ca="1">IFERROR(__xludf.DUMMYFUNCTION("""COMPUTED_VALUE"""),"HORNITOS PASTELERIA Y PANADERIA SAS")</f>
        <v>HORNITOS PASTELERIA Y PANADERIA SAS</v>
      </c>
    </row>
    <row r="273" spans="1:1" ht="12.75" x14ac:dyDescent="0.2">
      <c r="A273" s="2" t="str">
        <f ca="1">IFERROR(__xludf.DUMMYFUNCTION("""COMPUTED_VALUE"""),"GEOFLORA SAS")</f>
        <v>GEOFLORA SAS</v>
      </c>
    </row>
    <row r="274" spans="1:1" ht="12.75" x14ac:dyDescent="0.2">
      <c r="A274" s="2" t="str">
        <f ca="1">IFERROR(__xludf.DUMMYFUNCTION("""COMPUTED_VALUE"""),"LESCHACO COLOMBIA SAS")</f>
        <v>LESCHACO COLOMBIA SAS</v>
      </c>
    </row>
    <row r="275" spans="1:1" ht="12.75" x14ac:dyDescent="0.2">
      <c r="A275" s="2" t="str">
        <f ca="1">IFERROR(__xludf.DUMMYFUNCTION("""COMPUTED_VALUE"""),"PHARMALACTEOS S.A.")</f>
        <v>PHARMALACTEOS S.A.</v>
      </c>
    </row>
    <row r="276" spans="1:1" ht="12.75" x14ac:dyDescent="0.2">
      <c r="A276" s="2" t="str">
        <f ca="1">IFERROR(__xludf.DUMMYFUNCTION("""COMPUTED_VALUE"""),"GALLAGHER CONSULTING LTDA")</f>
        <v>GALLAGHER CONSULTING LTDA</v>
      </c>
    </row>
    <row r="277" spans="1:1" ht="12.75" x14ac:dyDescent="0.2">
      <c r="A277" s="2" t="str">
        <f ca="1">IFERROR(__xludf.DUMMYFUNCTION("""COMPUTED_VALUE"""),"GALLAGHER CENTER OF EXCELLENCE LATAM SAS")</f>
        <v>GALLAGHER CENTER OF EXCELLENCE LATAM SAS</v>
      </c>
    </row>
    <row r="278" spans="1:1" ht="12.75" x14ac:dyDescent="0.2">
      <c r="A278" s="2" t="str">
        <f ca="1">IFERROR(__xludf.DUMMYFUNCTION("""COMPUTED_VALUE"""),"SERVICIOS FALABELLA")</f>
        <v>SERVICIOS FALABELLA</v>
      </c>
    </row>
    <row r="279" spans="1:1" ht="12.75" x14ac:dyDescent="0.2">
      <c r="A279" s="2" t="str">
        <f ca="1">IFERROR(__xludf.DUMMYFUNCTION("""COMPUTED_VALUE"""),"FALABELLA RETAIL - Bogotá")</f>
        <v>FALABELLA RETAIL - Bogotá</v>
      </c>
    </row>
    <row r="280" spans="1:1" ht="12.75" x14ac:dyDescent="0.2">
      <c r="A280" s="2" t="str">
        <f ca="1">IFERROR(__xludf.DUMMYFUNCTION("""COMPUTED_VALUE"""),"FALABELLA RETAIL - COTA")</f>
        <v>FALABELLA RETAIL - COTA</v>
      </c>
    </row>
    <row r="281" spans="1:1" ht="12.75" x14ac:dyDescent="0.2">
      <c r="A281" s="2" t="str">
        <f ca="1">IFERROR(__xludf.DUMMYFUNCTION("""COMPUTED_VALUE"""),"LESCHACO COLOMBIA SAS")</f>
        <v>LESCHACO COLOMBIA SAS</v>
      </c>
    </row>
    <row r="282" spans="1:1" ht="12.75" x14ac:dyDescent="0.2">
      <c r="A282" s="2" t="str">
        <f ca="1">IFERROR(__xludf.DUMMYFUNCTION("""COMPUTED_VALUE"""),"WH SERVICES")</f>
        <v>WH SERVICES</v>
      </c>
    </row>
    <row r="283" spans="1:1" ht="12.75" x14ac:dyDescent="0.2">
      <c r="A283" s="2" t="str">
        <f ca="1">IFERROR(__xludf.DUMMYFUNCTION("""COMPUTED_VALUE"""),"SCOTIABANK COLPATRIA")</f>
        <v>SCOTIABANK COLPATRIA</v>
      </c>
    </row>
    <row r="284" spans="1:1" ht="12.75" x14ac:dyDescent="0.2">
      <c r="A284" s="2" t="str">
        <f ca="1">IFERROR(__xludf.DUMMYFUNCTION("""COMPUTED_VALUE"""),"ALPHAFLEX SAS")</f>
        <v>ALPHAFLEX SAS</v>
      </c>
    </row>
    <row r="285" spans="1:1" ht="25.5" x14ac:dyDescent="0.2">
      <c r="A285" s="2" t="str">
        <f ca="1">IFERROR(__xludf.DUMMYFUNCTION("""COMPUTED_VALUE"""),"MANE ANDINA S.A.S.
(PROPUESTA RECA)")</f>
        <v>MANE ANDINA S.A.S.
(PROPUESTA RECA)</v>
      </c>
    </row>
    <row r="286" spans="1:1" ht="12.75" x14ac:dyDescent="0.2">
      <c r="A286" s="2" t="str">
        <f ca="1">IFERROR(__xludf.DUMMYFUNCTION("""COMPUTED_VALUE"""),"AGENCIA NACIONAL DE HIDROCARBUROS")</f>
        <v>AGENCIA NACIONAL DE HIDROCARBUROS</v>
      </c>
    </row>
    <row r="287" spans="1:1" ht="12.75" x14ac:dyDescent="0.2">
      <c r="A287" s="2" t="str">
        <f ca="1">IFERROR(__xludf.DUMMYFUNCTION("""COMPUTED_VALUE"""),"MALLPLAZA SERVICIOS S.A.S")</f>
        <v>MALLPLAZA SERVICIOS S.A.S</v>
      </c>
    </row>
    <row r="288" spans="1:1" ht="12.75" x14ac:dyDescent="0.2">
      <c r="A288" s="2" t="str">
        <f ca="1">IFERROR(__xludf.DUMMYFUNCTION("""COMPUTED_VALUE"""),"ATENTO COLOMBIA")</f>
        <v>ATENTO COLOMBIA</v>
      </c>
    </row>
    <row r="289" spans="1:1" ht="12.75" x14ac:dyDescent="0.2">
      <c r="A289" s="2" t="str">
        <f ca="1">IFERROR(__xludf.DUMMYFUNCTION("""COMPUTED_VALUE"""),"NEXURA INTERNACIONAL SAS")</f>
        <v>NEXURA INTERNACIONAL SAS</v>
      </c>
    </row>
    <row r="290" spans="1:1" ht="12.75" x14ac:dyDescent="0.2">
      <c r="A290" s="2" t="str">
        <f ca="1">IFERROR(__xludf.DUMMYFUNCTION("""COMPUTED_VALUE"""),"AR SOLUCIONES INMOBILIARIAS SAS")</f>
        <v>AR SOLUCIONES INMOBILIARIAS SAS</v>
      </c>
    </row>
    <row r="291" spans="1:1" ht="12.75" x14ac:dyDescent="0.2">
      <c r="A291" s="2" t="str">
        <f ca="1">IFERROR(__xludf.DUMMYFUNCTION("""COMPUTED_VALUE"""),"AR CONSTRUCCIONES S.A.S.")</f>
        <v>AR CONSTRUCCIONES S.A.S.</v>
      </c>
    </row>
    <row r="292" spans="1:1" ht="12.75" x14ac:dyDescent="0.2">
      <c r="A292" s="2" t="str">
        <f ca="1">IFERROR(__xludf.DUMMYFUNCTION("""COMPUTED_VALUE"""),"FUNDACIÓN AR DE COLOMBIA")</f>
        <v>FUNDACIÓN AR DE COLOMBIA</v>
      </c>
    </row>
    <row r="293" spans="1:1" ht="12.75" x14ac:dyDescent="0.2">
      <c r="A293" s="2" t="str">
        <f ca="1">IFERROR(__xludf.DUMMYFUNCTION("""COMPUTED_VALUE"""),"GRUPO AR SAS")</f>
        <v>GRUPO AR SAS</v>
      </c>
    </row>
    <row r="294" spans="1:1" ht="12.75" x14ac:dyDescent="0.2">
      <c r="A294" s="2" t="str">
        <f ca="1">IFERROR(__xludf.DUMMYFUNCTION("""COMPUTED_VALUE"""),"ALLIANZ SEGUROS SA")</f>
        <v>ALLIANZ SEGUROS SA</v>
      </c>
    </row>
    <row r="295" spans="1:1" ht="12.75" x14ac:dyDescent="0.2">
      <c r="A295" s="2" t="str">
        <f ca="1">IFERROR(__xludf.DUMMYFUNCTION("""COMPUTED_VALUE"""),"SUPPLIES 4 PETS SAS")</f>
        <v>SUPPLIES 4 PETS SAS</v>
      </c>
    </row>
    <row r="296" spans="1:1" ht="12.75" x14ac:dyDescent="0.2">
      <c r="A296" s="2" t="str">
        <f ca="1">IFERROR(__xludf.DUMMYFUNCTION("""COMPUTED_VALUE"""),"FUNDACION EDUCATIVA DE INGLATERRA")</f>
        <v>FUNDACION EDUCATIVA DE INGLATERRA</v>
      </c>
    </row>
    <row r="297" spans="1:1" ht="12.75" x14ac:dyDescent="0.2">
      <c r="A297" s="2" t="str">
        <f ca="1">IFERROR(__xludf.DUMMYFUNCTION("""COMPUTED_VALUE"""),"PAN PA YA")</f>
        <v>PAN PA YA</v>
      </c>
    </row>
    <row r="298" spans="1:1" ht="12.75" x14ac:dyDescent="0.2">
      <c r="A298" s="2" t="str">
        <f ca="1">IFERROR(__xludf.DUMMYFUNCTION("""COMPUTED_VALUE"""),"ANNA GROUP SAS BIC")</f>
        <v>ANNA GROUP SAS BIC</v>
      </c>
    </row>
    <row r="299" spans="1:1" ht="12.75" x14ac:dyDescent="0.2">
      <c r="A299" s="2" t="str">
        <f ca="1">IFERROR(__xludf.DUMMYFUNCTION("""COMPUTED_VALUE"""),"AGENCIA DE ADUANAS ABC REPECEV SAS NIVEL 1")</f>
        <v>AGENCIA DE ADUANAS ABC REPECEV SAS NIVEL 1</v>
      </c>
    </row>
    <row r="300" spans="1:1" ht="12.75" x14ac:dyDescent="0.2">
      <c r="A300" s="2" t="str">
        <f ca="1">IFERROR(__xludf.DUMMYFUNCTION("""COMPUTED_VALUE"""),"AGENCIA DE ADUANAS COLMAS LTDA")</f>
        <v>AGENCIA DE ADUANAS COLMAS LTDA</v>
      </c>
    </row>
    <row r="301" spans="1:1" ht="12.75" x14ac:dyDescent="0.2">
      <c r="A301" s="2" t="str">
        <f ca="1">IFERROR(__xludf.DUMMYFUNCTION("""COMPUTED_VALUE"""),"AGENCIA DE SEGURIDAD INTEGRAL SPECIAL LTDA")</f>
        <v>AGENCIA DE SEGURIDAD INTEGRAL SPECIAL LTDA</v>
      </c>
    </row>
    <row r="302" spans="1:1" ht="12.75" x14ac:dyDescent="0.2">
      <c r="A302" s="2" t="str">
        <f ca="1">IFERROR(__xludf.DUMMYFUNCTION("""COMPUTED_VALUE"""),"ADS PHARMA SAS")</f>
        <v>ADS PHARMA SAS</v>
      </c>
    </row>
    <row r="303" spans="1:1" ht="25.5" x14ac:dyDescent="0.2">
      <c r="A303" s="2" t="str">
        <f ca="1">IFERROR(__xludf.DUMMYFUNCTION("""COMPUTED_VALUE"""),"CORPORACIÒN COLOMBIANA DE INVESTIGACIÒN AGROPECUARIA AGROSAVIA")</f>
        <v>CORPORACIÒN COLOMBIANA DE INVESTIGACIÒN AGROPECUARIA AGROSAVIA</v>
      </c>
    </row>
    <row r="304" spans="1:1" ht="12.75" x14ac:dyDescent="0.2">
      <c r="A304" s="2" t="str">
        <f ca="1">IFERROR(__xludf.DUMMYFUNCTION("""COMPUTED_VALUE"""),"LLORENTE &amp; CUENCA COLOMBIA S.A.S")</f>
        <v>LLORENTE &amp; CUENCA COLOMBIA S.A.S</v>
      </c>
    </row>
    <row r="305" spans="1:1" ht="12.75" x14ac:dyDescent="0.2">
      <c r="A305" s="2" t="str">
        <f ca="1">IFERROR(__xludf.DUMMYFUNCTION("""COMPUTED_VALUE"""),"EYC INGENIEROS SAS")</f>
        <v>EYC INGENIEROS SAS</v>
      </c>
    </row>
    <row r="306" spans="1:1" ht="25.5" x14ac:dyDescent="0.2">
      <c r="A306" s="2" t="str">
        <f ca="1">IFERROR(__xludf.DUMMYFUNCTION("""COMPUTED_VALUE"""),"IKM INFORMATION AND KNOWLEDGE MANAGEMENT SAS")</f>
        <v>IKM INFORMATION AND KNOWLEDGE MANAGEMENT SAS</v>
      </c>
    </row>
    <row r="307" spans="1:1" ht="12.75" x14ac:dyDescent="0.2">
      <c r="A307" s="2" t="str">
        <f ca="1">IFERROR(__xludf.DUMMYFUNCTION("""COMPUTED_VALUE"""),"JA DEL RIOS SAS")</f>
        <v>JA DEL RIOS SAS</v>
      </c>
    </row>
    <row r="308" spans="1:1" ht="12.75" x14ac:dyDescent="0.2">
      <c r="A308" s="2" t="str">
        <f ca="1">IFERROR(__xludf.DUMMYFUNCTION("""COMPUTED_VALUE"""),"TELESET S.A.S")</f>
        <v>TELESET S.A.S</v>
      </c>
    </row>
    <row r="309" spans="1:1" ht="25.5" x14ac:dyDescent="0.2">
      <c r="A309" s="2" t="str">
        <f ca="1">IFERROR(__xludf.DUMMYFUNCTION("""COMPUTED_VALUE"""),"UNIÓN TEMPORAL SERVICIO SOCIAL
 CENTROS INTEGRARTE")</f>
        <v>UNIÓN TEMPORAL SERVICIO SOCIAL
 CENTROS INTEGRARTE</v>
      </c>
    </row>
    <row r="310" spans="1:1" ht="25.5" x14ac:dyDescent="0.2">
      <c r="A310" s="2" t="str">
        <f ca="1">IFERROR(__xludf.DUMMYFUNCTION("""COMPUTED_VALUE"""),"INVERSIONES DE GASES DE COLOMBIA SA.
 INVERCOLSA")</f>
        <v>INVERSIONES DE GASES DE COLOMBIA SA.
 INVERCOLSA</v>
      </c>
    </row>
    <row r="311" spans="1:1" ht="12.75" x14ac:dyDescent="0.2">
      <c r="A311" s="2" t="str">
        <f ca="1">IFERROR(__xludf.DUMMYFUNCTION("""COMPUTED_VALUE"""),"LAAX SERVICE S.A.S")</f>
        <v>LAAX SERVICE S.A.S</v>
      </c>
    </row>
    <row r="312" spans="1:1" ht="25.5" x14ac:dyDescent="0.2">
      <c r="A312" s="2" t="str">
        <f ca="1">IFERROR(__xludf.DUMMYFUNCTION("""COMPUTED_VALUE"""),"AGENCIA DE ADUANAS GRUPO 
LOGISTICO ADUANERO SA NIVEL 2")</f>
        <v>AGENCIA DE ADUANAS GRUPO 
LOGISTICO ADUANERO SA NIVEL 2</v>
      </c>
    </row>
    <row r="313" spans="1:1" ht="12.75" x14ac:dyDescent="0.2">
      <c r="A313" s="2" t="str">
        <f ca="1">IFERROR(__xludf.DUMMYFUNCTION("""COMPUTED_VALUE"""),"AGENCIA DE ADUANAS GAMA SAS NIVEL 1")</f>
        <v>AGENCIA DE ADUANAS GAMA SAS NIVEL 1</v>
      </c>
    </row>
    <row r="314" spans="1:1" ht="25.5" x14ac:dyDescent="0.2">
      <c r="A314" s="2" t="str">
        <f ca="1">IFERROR(__xludf.DUMMYFUNCTION("""COMPUTED_VALUE"""),"FUNDACIÓN INTEGRAL PARA EL DESARROLLO 
FIPAHD")</f>
        <v>FUNDACIÓN INTEGRAL PARA EL DESARROLLO 
FIPAHD</v>
      </c>
    </row>
    <row r="315" spans="1:1" ht="12.75" x14ac:dyDescent="0.2">
      <c r="A315" s="2" t="str">
        <f ca="1">IFERROR(__xludf.DUMMYFUNCTION("""COMPUTED_VALUE"""),"HUMAN BALANCE LTDA")</f>
        <v>HUMAN BALANCE LTDA</v>
      </c>
    </row>
    <row r="316" spans="1:1" ht="12.75" x14ac:dyDescent="0.2">
      <c r="A316" s="2" t="str">
        <f ca="1">IFERROR(__xludf.DUMMYFUNCTION("""COMPUTED_VALUE"""),"BEGREEN FACTORY S.A.S")</f>
        <v>BEGREEN FACTORY S.A.S</v>
      </c>
    </row>
    <row r="317" spans="1:1" ht="12.75" x14ac:dyDescent="0.2">
      <c r="A317" s="2" t="str">
        <f ca="1">IFERROR(__xludf.DUMMYFUNCTION("""COMPUTED_VALUE"""),"B2B TIC SAS")</f>
        <v>B2B TIC SAS</v>
      </c>
    </row>
    <row r="318" spans="1:1" ht="12.75" x14ac:dyDescent="0.2">
      <c r="A318" s="2" t="str">
        <f ca="1">IFERROR(__xludf.DUMMYFUNCTION("""COMPUTED_VALUE"""),"ROHDE &amp; SCHWARZ COLOMBIA SAS")</f>
        <v>ROHDE &amp; SCHWARZ COLOMBIA SAS</v>
      </c>
    </row>
    <row r="319" spans="1:1" ht="12.75" x14ac:dyDescent="0.2">
      <c r="A319" s="2" t="str">
        <f ca="1">IFERROR(__xludf.DUMMYFUNCTION("""COMPUTED_VALUE"""),"GRUPO TCW SAS")</f>
        <v>GRUPO TCW SAS</v>
      </c>
    </row>
    <row r="320" spans="1:1" ht="12.75" x14ac:dyDescent="0.2">
      <c r="A320" s="2" t="str">
        <f ca="1">IFERROR(__xludf.DUMMYFUNCTION("""COMPUTED_VALUE"""),"ASOCIADOS GARCIA CASTRO SAS")</f>
        <v>ASOCIADOS GARCIA CASTRO SAS</v>
      </c>
    </row>
    <row r="321" spans="1:1" ht="12.75" x14ac:dyDescent="0.2">
      <c r="A321" s="2" t="str">
        <f ca="1">IFERROR(__xludf.DUMMYFUNCTION("""COMPUTED_VALUE"""),"AURATEX SAS")</f>
        <v>AURATEX SAS</v>
      </c>
    </row>
    <row r="322" spans="1:1" ht="12.75" x14ac:dyDescent="0.2">
      <c r="A322" s="2" t="str">
        <f ca="1">IFERROR(__xludf.DUMMYFUNCTION("""COMPUTED_VALUE"""),"FUNDACIÓN GEO VERDE")</f>
        <v>FUNDACIÓN GEO VERDE</v>
      </c>
    </row>
    <row r="323" spans="1:1" ht="12.75" x14ac:dyDescent="0.2">
      <c r="A323" s="2" t="str">
        <f ca="1">IFERROR(__xludf.DUMMYFUNCTION("""COMPUTED_VALUE"""),"AGENCIA DE ADUANAS GAMA SAS NIVEL 1")</f>
        <v>AGENCIA DE ADUANAS GAMA SAS NIVEL 1</v>
      </c>
    </row>
    <row r="324" spans="1:1" ht="12.75" x14ac:dyDescent="0.2">
      <c r="A324" s="2" t="str">
        <f ca="1">IFERROR(__xludf.DUMMYFUNCTION("""COMPUTED_VALUE"""),"POSTRES Y REFRIGERIOS COMPAÑIA ALIMENTICIA")</f>
        <v>POSTRES Y REFRIGERIOS COMPAÑIA ALIMENTICIA</v>
      </c>
    </row>
    <row r="325" spans="1:1" ht="12.75" x14ac:dyDescent="0.2">
      <c r="A325" s="2" t="str">
        <f ca="1">IFERROR(__xludf.DUMMYFUNCTION("""COMPUTED_VALUE"""),"GRUPO SIERRA ALTA SAS")</f>
        <v>GRUPO SIERRA ALTA SAS</v>
      </c>
    </row>
    <row r="326" spans="1:1" ht="25.5" x14ac:dyDescent="0.2">
      <c r="A326" s="2" t="str">
        <f ca="1">IFERROR(__xludf.DUMMYFUNCTION("""COMPUTED_VALUE"""),"SERVICIOS INTEGRALES EN SEGURIDAD Y 
SALUD EN EL TRABAJO")</f>
        <v>SERVICIOS INTEGRALES EN SEGURIDAD Y 
SALUD EN EL TRABAJO</v>
      </c>
    </row>
    <row r="327" spans="1:1" ht="12.75" x14ac:dyDescent="0.2">
      <c r="A327" s="2" t="str">
        <f ca="1">IFERROR(__xludf.DUMMYFUNCTION("""COMPUTED_VALUE"""),"GAIA VITARE S.A.S")</f>
        <v>GAIA VITARE S.A.S</v>
      </c>
    </row>
    <row r="328" spans="1:1" ht="12.75" x14ac:dyDescent="0.2">
      <c r="A328" s="2" t="str">
        <f ca="1">IFERROR(__xludf.DUMMYFUNCTION("""COMPUTED_VALUE"""),"ASCENSORES ASCINTEC SAS")</f>
        <v>ASCENSORES ASCINTEC SAS</v>
      </c>
    </row>
    <row r="329" spans="1:1" ht="12.75" x14ac:dyDescent="0.2">
      <c r="A329" s="2" t="str">
        <f ca="1">IFERROR(__xludf.DUMMYFUNCTION("""COMPUTED_VALUE"""),"BACET GROUP SAS - ADMINISTRATIVO")</f>
        <v>BACET GROUP SAS - ADMINISTRATIVO</v>
      </c>
    </row>
    <row r="330" spans="1:1" ht="12.75" x14ac:dyDescent="0.2">
      <c r="A330" s="2" t="str">
        <f ca="1">IFERROR(__xludf.DUMMYFUNCTION("""COMPUTED_VALUE"""),"BACET GROUP SAS- OPERATIVO")</f>
        <v>BACET GROUP SAS- OPERATIVO</v>
      </c>
    </row>
    <row r="331" spans="1:1" ht="12.75" x14ac:dyDescent="0.2">
      <c r="A331" s="2" t="str">
        <f ca="1">IFERROR(__xludf.DUMMYFUNCTION("""COMPUTED_VALUE"""),"BPO CONSULTING SAS")</f>
        <v>BPO CONSULTING SAS</v>
      </c>
    </row>
    <row r="332" spans="1:1" ht="12.75" x14ac:dyDescent="0.2">
      <c r="A332" s="2" t="str">
        <f ca="1">IFERROR(__xludf.DUMMYFUNCTION("""COMPUTED_VALUE"""),"AMEZQUITA &amp; CIA S.A.S")</f>
        <v>AMEZQUITA &amp; CIA S.A.S</v>
      </c>
    </row>
    <row r="333" spans="1:1" ht="12.75" x14ac:dyDescent="0.2">
      <c r="A333" s="2" t="str">
        <f ca="1">IFERROR(__xludf.DUMMYFUNCTION("""COMPUTED_VALUE"""),"SEM INGENIERÍA SAS")</f>
        <v>SEM INGENIERÍA SAS</v>
      </c>
    </row>
    <row r="334" spans="1:1" ht="12.75" x14ac:dyDescent="0.2">
      <c r="A334" s="2" t="str">
        <f ca="1">IFERROR(__xludf.DUMMYFUNCTION("""COMPUTED_VALUE"""),"HORIZONTAL SOLUTIONS GROUP SYNERGY SAS.")</f>
        <v>HORIZONTAL SOLUTIONS GROUP SYNERGY SAS.</v>
      </c>
    </row>
    <row r="335" spans="1:1" ht="12.75" x14ac:dyDescent="0.2">
      <c r="A335" s="2" t="str">
        <f ca="1">IFERROR(__xludf.DUMMYFUNCTION("""COMPUTED_VALUE"""),"PETROSEISMIC SERVICES S.A.")</f>
        <v>PETROSEISMIC SERVICES S.A.</v>
      </c>
    </row>
    <row r="336" spans="1:1" ht="12.75" x14ac:dyDescent="0.2">
      <c r="A336" s="2" t="str">
        <f ca="1">IFERROR(__xludf.DUMMYFUNCTION("""COMPUTED_VALUE"""),"ACTORES SOCIEDAD COLOMBIANA DE GESTIÓN")</f>
        <v>ACTORES SOCIEDAD COLOMBIANA DE GESTIÓN</v>
      </c>
    </row>
    <row r="337" spans="1:1" ht="12.75" x14ac:dyDescent="0.2">
      <c r="A337" s="2" t="str">
        <f ca="1">IFERROR(__xludf.DUMMYFUNCTION("""COMPUTED_VALUE"""),"COOSERVIUNIDOS LTDA")</f>
        <v>COOSERVIUNIDOS LTDA</v>
      </c>
    </row>
    <row r="338" spans="1:1" ht="12.75" x14ac:dyDescent="0.2">
      <c r="A338" s="2" t="str">
        <f ca="1">IFERROR(__xludf.DUMMYFUNCTION("""COMPUTED_VALUE"""),"RESPALDAR LTDA")</f>
        <v>RESPALDAR LTDA</v>
      </c>
    </row>
    <row r="339" spans="1:1" ht="12.75" x14ac:dyDescent="0.2">
      <c r="A339" s="2" t="str">
        <f ca="1">IFERROR(__xludf.DUMMYFUNCTION("""COMPUTED_VALUE"""),"BANCO FALABELLA")</f>
        <v>BANCO FALABELLA</v>
      </c>
    </row>
    <row r="340" spans="1:1" ht="12.75" x14ac:dyDescent="0.2">
      <c r="A340" s="2" t="str">
        <f ca="1">IFERROR(__xludf.DUMMYFUNCTION("""COMPUTED_VALUE"""),"CONCESIONARIA VIAL ANDINA S.A.S")</f>
        <v>CONCESIONARIA VIAL ANDINA S.A.S</v>
      </c>
    </row>
    <row r="341" spans="1:1" ht="12.75" x14ac:dyDescent="0.2">
      <c r="A341" s="2" t="str">
        <f ca="1">IFERROR(__xludf.DUMMYFUNCTION("""COMPUTED_VALUE"""),"POSITIVA COMPAÑIA DE SEGUROS SA")</f>
        <v>POSITIVA COMPAÑIA DE SEGUROS SA</v>
      </c>
    </row>
    <row r="342" spans="1:1" ht="12.75" x14ac:dyDescent="0.2">
      <c r="A342" s="2" t="str">
        <f ca="1">IFERROR(__xludf.DUMMYFUNCTION("""COMPUTED_VALUE"""),"PURINA NESTLÉ")</f>
        <v>PURINA NESTLÉ</v>
      </c>
    </row>
    <row r="343" spans="1:1" ht="12.75" x14ac:dyDescent="0.2">
      <c r="A343" s="2" t="str">
        <f ca="1">IFERROR(__xludf.DUMMYFUNCTION("""COMPUTED_VALUE"""),"GRUPO MCN COLOMBIA SAS")</f>
        <v>GRUPO MCN COLOMBIA SAS</v>
      </c>
    </row>
    <row r="344" spans="1:1" ht="25.5" x14ac:dyDescent="0.2">
      <c r="A344" s="2" t="str">
        <f ca="1">IFERROR(__xludf.DUMMYFUNCTION("""COMPUTED_VALUE"""),"ALCOMEX S.A.
ALMACENADORES Y COMERCIO EXTERIOR SAS")</f>
        <v>ALCOMEX S.A.
ALMACENADORES Y COMERCIO EXTERIOR SAS</v>
      </c>
    </row>
    <row r="345" spans="1:1" ht="12.75" x14ac:dyDescent="0.2">
      <c r="A345" s="2" t="str">
        <f ca="1">IFERROR(__xludf.DUMMYFUNCTION("""COMPUTED_VALUE"""),"AUTONAL &amp; CIA S.A.S")</f>
        <v>AUTONAL &amp; CIA S.A.S</v>
      </c>
    </row>
    <row r="346" spans="1:1" ht="12.75" x14ac:dyDescent="0.2">
      <c r="A346" s="2" t="str">
        <f ca="1">IFERROR(__xludf.DUMMYFUNCTION("""COMPUTED_VALUE"""),"MEYAN S.A")</f>
        <v>MEYAN S.A</v>
      </c>
    </row>
    <row r="347" spans="1:1" ht="12.75" x14ac:dyDescent="0.2">
      <c r="A347" s="2" t="str">
        <f ca="1">IFERROR(__xludf.DUMMYFUNCTION("""COMPUTED_VALUE"""),"CUANTICORE SAS")</f>
        <v>CUANTICORE SAS</v>
      </c>
    </row>
    <row r="348" spans="1:1" ht="12.75" x14ac:dyDescent="0.2">
      <c r="A348" s="2" t="str">
        <f ca="1">IFERROR(__xludf.DUMMYFUNCTION("""COMPUTED_VALUE"""),"FLORES CIPRES")</f>
        <v>FLORES CIPRES</v>
      </c>
    </row>
    <row r="349" spans="1:1" ht="12.75" x14ac:dyDescent="0.2">
      <c r="A349" s="2" t="str">
        <f ca="1">IFERROR(__xludf.DUMMYFUNCTION("""COMPUTED_VALUE"""),"FLORES EL ALJIBE SAS")</f>
        <v>FLORES EL ALJIBE SAS</v>
      </c>
    </row>
    <row r="350" spans="1:1" ht="12.75" x14ac:dyDescent="0.2">
      <c r="A350" s="2" t="str">
        <f ca="1">IFERROR(__xludf.DUMMYFUNCTION("""COMPUTED_VALUE"""),"PROFIT BANCA DE INVERSION SAS")</f>
        <v>PROFIT BANCA DE INVERSION SAS</v>
      </c>
    </row>
    <row r="351" spans="1:1" ht="12.75" x14ac:dyDescent="0.2">
      <c r="A351" s="2" t="str">
        <f ca="1">IFERROR(__xludf.DUMMYFUNCTION("""COMPUTED_VALUE"""),"CENTRO MAYOR CENTRO COMERCIAL")</f>
        <v>CENTRO MAYOR CENTRO COMERCIAL</v>
      </c>
    </row>
    <row r="352" spans="1:1" ht="12.75" x14ac:dyDescent="0.2">
      <c r="A352" s="2" t="str">
        <f ca="1">IFERROR(__xludf.DUMMYFUNCTION("""COMPUTED_VALUE"""),"IMBOCAR S.A.S")</f>
        <v>IMBOCAR S.A.S</v>
      </c>
    </row>
    <row r="353" spans="1:1" ht="12.75" x14ac:dyDescent="0.2">
      <c r="A353" s="2" t="str">
        <f ca="1">IFERROR(__xludf.DUMMYFUNCTION("""COMPUTED_VALUE"""),"DOCUMENTS S.A.S")</f>
        <v>DOCUMENTS S.A.S</v>
      </c>
    </row>
    <row r="354" spans="1:1" ht="12.75" x14ac:dyDescent="0.2">
      <c r="A354" s="2" t="str">
        <f ca="1">IFERROR(__xludf.DUMMYFUNCTION("""COMPUTED_VALUE"""),"TECHBOSS SAS")</f>
        <v>TECHBOSS SAS</v>
      </c>
    </row>
    <row r="355" spans="1:1" ht="12.75" x14ac:dyDescent="0.2">
      <c r="A355" s="2" t="str">
        <f ca="1">IFERROR(__xludf.DUMMYFUNCTION("""COMPUTED_VALUE"""),"AIRLAB CONSULTING S.A.S")</f>
        <v>AIRLAB CONSULTING S.A.S</v>
      </c>
    </row>
    <row r="356" spans="1:1" ht="25.5" x14ac:dyDescent="0.2">
      <c r="A356" s="2" t="str">
        <f ca="1">IFERROR(__xludf.DUMMYFUNCTION("""COMPUTED_VALUE"""),"IMAGE QUALITY OUTSOURCING S.A. IQ OUTSOURCING S.A")</f>
        <v>IMAGE QUALITY OUTSOURCING S.A. IQ OUTSOURCING S.A</v>
      </c>
    </row>
    <row r="357" spans="1:1" ht="12.75" x14ac:dyDescent="0.2">
      <c r="A357" s="2" t="str">
        <f ca="1">IFERROR(__xludf.DUMMYFUNCTION("""COMPUTED_VALUE"""),"CONINSA S.A.S")</f>
        <v>CONINSA S.A.S</v>
      </c>
    </row>
    <row r="358" spans="1:1" ht="12.75" x14ac:dyDescent="0.2">
      <c r="A358" s="2" t="str">
        <f ca="1">IFERROR(__xludf.DUMMYFUNCTION("""COMPUTED_VALUE"""),"FORTOX S.A")</f>
        <v>FORTOX S.A</v>
      </c>
    </row>
    <row r="359" spans="1:1" ht="12.75" x14ac:dyDescent="0.2">
      <c r="A359" s="2" t="str">
        <f ca="1">IFERROR(__xludf.DUMMYFUNCTION("""COMPUTED_VALUE"""),"ALPAPEL SAS")</f>
        <v>ALPAPEL SAS</v>
      </c>
    </row>
    <row r="360" spans="1:1" ht="12.75" x14ac:dyDescent="0.2">
      <c r="A360" s="2" t="str">
        <f ca="1">IFERROR(__xludf.DUMMYFUNCTION("""COMPUTED_VALUE"""),"CHARLOTTE PASTELERIA BOGOTÁ")</f>
        <v>CHARLOTTE PASTELERIA BOGOTÁ</v>
      </c>
    </row>
    <row r="361" spans="1:1" ht="12.75" x14ac:dyDescent="0.2">
      <c r="A361" s="2" t="str">
        <f ca="1">IFERROR(__xludf.DUMMYFUNCTION("""COMPUTED_VALUE"""),"ZONA MEDICA MR SAS")</f>
        <v>ZONA MEDICA MR SAS</v>
      </c>
    </row>
    <row r="362" spans="1:1" ht="12.75" x14ac:dyDescent="0.2">
      <c r="A362" s="2" t="str">
        <f ca="1">IFERROR(__xludf.DUMMYFUNCTION("""COMPUTED_VALUE"""),"BAUCORT LTDA")</f>
        <v>BAUCORT LTDA</v>
      </c>
    </row>
    <row r="363" spans="1:1" ht="12.75" x14ac:dyDescent="0.2">
      <c r="A363" s="2" t="str">
        <f ca="1">IFERROR(__xludf.DUMMYFUNCTION("""COMPUTED_VALUE"""),"CLINICA MEDICENTRO FAMILIAR IPS SAS")</f>
        <v>CLINICA MEDICENTRO FAMILIAR IPS SAS</v>
      </c>
    </row>
    <row r="364" spans="1:1" ht="12.75" x14ac:dyDescent="0.2">
      <c r="A364" s="2" t="str">
        <f ca="1">IFERROR(__xludf.DUMMYFUNCTION("""COMPUTED_VALUE"""),"EMTIRIA SAS")</f>
        <v>EMTIRIA SAS</v>
      </c>
    </row>
    <row r="365" spans="1:1" ht="12.75" x14ac:dyDescent="0.2">
      <c r="A365" s="2" t="str">
        <f ca="1">IFERROR(__xludf.DUMMYFUNCTION("""COMPUTED_VALUE"""),"LA CONSTRUCTORA ESQUISSE ARQUITECTOS")</f>
        <v>LA CONSTRUCTORA ESQUISSE ARQUITECTOS</v>
      </c>
    </row>
    <row r="366" spans="1:1" ht="12.75" x14ac:dyDescent="0.2">
      <c r="A366" s="2" t="str">
        <f ca="1">IFERROR(__xludf.DUMMYFUNCTION("""COMPUTED_VALUE"""),"ALMACENES CORONA S.A.S")</f>
        <v>ALMACENES CORONA S.A.S</v>
      </c>
    </row>
    <row r="367" spans="1:1" ht="12.75" x14ac:dyDescent="0.2">
      <c r="A367" s="2" t="str">
        <f ca="1">IFERROR(__xludf.DUMMYFUNCTION("""COMPUTED_VALUE"""),"RSSI GESTIÓN INTEGRAL SAS")</f>
        <v>RSSI GESTIÓN INTEGRAL SAS</v>
      </c>
    </row>
    <row r="368" spans="1:1" ht="12.75" x14ac:dyDescent="0.2">
      <c r="A368" s="2" t="str">
        <f ca="1">IFERROR(__xludf.DUMMYFUNCTION("""COMPUTED_VALUE"""),"ITELCA SAS")</f>
        <v>ITELCA SAS</v>
      </c>
    </row>
    <row r="369" spans="1:1" ht="12.75" x14ac:dyDescent="0.2">
      <c r="A369" s="2" t="str">
        <f ca="1">IFERROR(__xludf.DUMMYFUNCTION("""COMPUTED_VALUE"""),"CORFICOLOMBIANA")</f>
        <v>CORFICOLOMBIANA</v>
      </c>
    </row>
    <row r="370" spans="1:1" ht="12.75" x14ac:dyDescent="0.2">
      <c r="A370" s="2" t="str">
        <f ca="1">IFERROR(__xludf.DUMMYFUNCTION("""COMPUTED_VALUE"""),"CAMERFIRMA COLOMBIAS SAS")</f>
        <v>CAMERFIRMA COLOMBIAS SAS</v>
      </c>
    </row>
    <row r="371" spans="1:1" ht="12.75" x14ac:dyDescent="0.2">
      <c r="A371" s="2" t="str">
        <f ca="1">IFERROR(__xludf.DUMMYFUNCTION("""COMPUTED_VALUE"""),"INTERLOMAS SAS")</f>
        <v>INTERLOMAS SAS</v>
      </c>
    </row>
    <row r="372" spans="1:1" ht="12.75" x14ac:dyDescent="0.2">
      <c r="A372" s="2" t="str">
        <f ca="1">IFERROR(__xludf.DUMMYFUNCTION("""COMPUTED_VALUE"""),"GREENPACK SAS")</f>
        <v>GREENPACK SAS</v>
      </c>
    </row>
    <row r="373" spans="1:1" ht="25.5" x14ac:dyDescent="0.2">
      <c r="A373" s="2" t="str">
        <f ca="1">IFERROR(__xludf.DUMMYFUNCTION("""COMPUTED_VALUE"""),"ADMINISTRACIÓN DE SERVICIOS Y SEGURIDAD EL TESORO")</f>
        <v>ADMINISTRACIÓN DE SERVICIOS Y SEGURIDAD EL TESORO</v>
      </c>
    </row>
    <row r="374" spans="1:1" ht="25.5" x14ac:dyDescent="0.2">
      <c r="A374" s="2" t="str">
        <f ca="1">IFERROR(__xludf.DUMMYFUNCTION("""COMPUTED_VALUE"""),"CIC CONSULTORES DE INGENIERIA Y CIMENTACIONES SAS")</f>
        <v>CIC CONSULTORES DE INGENIERIA Y CIMENTACIONES SAS</v>
      </c>
    </row>
    <row r="375" spans="1:1" ht="12.75" x14ac:dyDescent="0.2">
      <c r="A375" s="2" t="str">
        <f ca="1">IFERROR(__xludf.DUMMYFUNCTION("""COMPUTED_VALUE"""),"EL VIAJERO HOSTELS S.A.S")</f>
        <v>EL VIAJERO HOSTELS S.A.S</v>
      </c>
    </row>
    <row r="376" spans="1:1" ht="12.75" x14ac:dyDescent="0.2">
      <c r="A376" s="2" t="str">
        <f ca="1">IFERROR(__xludf.DUMMYFUNCTION("""COMPUTED_VALUE"""),"EV BogotáSAS")</f>
        <v>EV BogotáSAS</v>
      </c>
    </row>
    <row r="377" spans="1:1" ht="12.75" x14ac:dyDescent="0.2">
      <c r="A377" s="2" t="str">
        <f ca="1">IFERROR(__xludf.DUMMYFUNCTION("""COMPUTED_VALUE"""),"FLORA MEDICINAL COLOMBIANA SAS")</f>
        <v>FLORA MEDICINAL COLOMBIANA SAS</v>
      </c>
    </row>
    <row r="378" spans="1:1" ht="12.75" x14ac:dyDescent="0.2">
      <c r="A378" s="2" t="str">
        <f ca="1">IFERROR(__xludf.DUMMYFUNCTION("""COMPUTED_VALUE"""),"DACARTEC INTERNACIONAL SERVICES ANDINA SA")</f>
        <v>DACARTEC INTERNACIONAL SERVICES ANDINA SA</v>
      </c>
    </row>
    <row r="379" spans="1:1" ht="12.75" x14ac:dyDescent="0.2">
      <c r="A379" s="2" t="str">
        <f ca="1">IFERROR(__xludf.DUMMYFUNCTION("""COMPUTED_VALUE"""),"SONEPAR")</f>
        <v>SONEPAR</v>
      </c>
    </row>
    <row r="380" spans="1:1" ht="12.75" x14ac:dyDescent="0.2">
      <c r="A380" s="2" t="str">
        <f ca="1">IFERROR(__xludf.DUMMYFUNCTION("""COMPUTED_VALUE"""),"IKE ASISTENCIA COLOMBIA SA")</f>
        <v>IKE ASISTENCIA COLOMBIA SA</v>
      </c>
    </row>
    <row r="381" spans="1:1" ht="12.75" x14ac:dyDescent="0.2">
      <c r="A381" s="2" t="str">
        <f ca="1">IFERROR(__xludf.DUMMYFUNCTION("""COMPUTED_VALUE"""),"SBQ COLOMBIA SAS")</f>
        <v>SBQ COLOMBIA SAS</v>
      </c>
    </row>
    <row r="382" spans="1:1" ht="12.75" x14ac:dyDescent="0.2">
      <c r="A382" s="2" t="str">
        <f ca="1">IFERROR(__xludf.DUMMYFUNCTION("""COMPUTED_VALUE"""),"CORONA INDUSTRIAL SAS")</f>
        <v>CORONA INDUSTRIAL SAS</v>
      </c>
    </row>
    <row r="383" spans="1:1" ht="12.75" x14ac:dyDescent="0.2">
      <c r="A383" s="2" t="str">
        <f ca="1">IFERROR(__xludf.DUMMYFUNCTION("""COMPUTED_VALUE"""),"JIREH TEXTILES SAS")</f>
        <v>JIREH TEXTILES SAS</v>
      </c>
    </row>
    <row r="384" spans="1:1" ht="12.75" x14ac:dyDescent="0.2">
      <c r="A384" s="2" t="str">
        <f ca="1">IFERROR(__xludf.DUMMYFUNCTION("""COMPUTED_VALUE"""),"PASTAS DI MARIALE")</f>
        <v>PASTAS DI MARIALE</v>
      </c>
    </row>
    <row r="385" spans="1:1" ht="12.75" x14ac:dyDescent="0.2">
      <c r="A385" s="2" t="str">
        <f ca="1">IFERROR(__xludf.DUMMYFUNCTION("""COMPUTED_VALUE"""),"VERMORA SAS")</f>
        <v>VERMORA SAS</v>
      </c>
    </row>
    <row r="386" spans="1:1" ht="12.75" x14ac:dyDescent="0.2">
      <c r="A386" s="2" t="str">
        <f ca="1">IFERROR(__xludf.DUMMYFUNCTION("""COMPUTED_VALUE"""),"NIÑO CAINA CONSTRUCCIONES LIMITADA")</f>
        <v>NIÑO CAINA CONSTRUCCIONES LIMITADA</v>
      </c>
    </row>
    <row r="387" spans="1:1" ht="12.75" x14ac:dyDescent="0.2">
      <c r="A387" s="2" t="str">
        <f ca="1">IFERROR(__xludf.DUMMYFUNCTION("""COMPUTED_VALUE"""),"ANASTASIA R&amp;M SAS")</f>
        <v>ANASTASIA R&amp;M SAS</v>
      </c>
    </row>
    <row r="388" spans="1:1" ht="12.75" x14ac:dyDescent="0.2">
      <c r="A388" s="2" t="str">
        <f ca="1">IFERROR(__xludf.DUMMYFUNCTION("""COMPUTED_VALUE"""),"NESTLE DE COLOMBIA SA")</f>
        <v>NESTLE DE COLOMBIA SA</v>
      </c>
    </row>
    <row r="389" spans="1:1" ht="25.5" x14ac:dyDescent="0.2">
      <c r="A389" s="2" t="str">
        <f ca="1">IFERROR(__xludf.DUMMYFUNCTION("""COMPUTED_VALUE"""),"CORRECOL CORREDORES COLOMBIANOS DE SEGUROS SAS")</f>
        <v>CORRECOL CORREDORES COLOMBIANOS DE SEGUROS SAS</v>
      </c>
    </row>
    <row r="390" spans="1:1" ht="12.75" x14ac:dyDescent="0.2">
      <c r="A390" s="2" t="str">
        <f ca="1">IFERROR(__xludf.DUMMYFUNCTION("""COMPUTED_VALUE"""),"SINERGY &amp; LOWELLS S.A.S")</f>
        <v>SINERGY &amp; LOWELLS S.A.S</v>
      </c>
    </row>
    <row r="391" spans="1:1" ht="12.75" x14ac:dyDescent="0.2">
      <c r="A391" s="2" t="str">
        <f ca="1">IFERROR(__xludf.DUMMYFUNCTION("""COMPUTED_VALUE"""),"TRANSPORTE Y LOGÍSTICA INTEGRAL SAS")</f>
        <v>TRANSPORTE Y LOGÍSTICA INTEGRAL SAS</v>
      </c>
    </row>
    <row r="392" spans="1:1" ht="12.75" x14ac:dyDescent="0.2">
      <c r="A392" s="2" t="str">
        <f ca="1">IFERROR(__xludf.DUMMYFUNCTION("""COMPUTED_VALUE"""),"SERVICIO GEOLÓGICO COLOMBIANO")</f>
        <v>SERVICIO GEOLÓGICO COLOMBIANO</v>
      </c>
    </row>
    <row r="393" spans="1:1" ht="12.75" x14ac:dyDescent="0.2">
      <c r="A393" s="2" t="str">
        <f ca="1">IFERROR(__xludf.DUMMYFUNCTION("""COMPUTED_VALUE"""),"FLEXPORT DE COLOMBIA")</f>
        <v>FLEXPORT DE COLOMBIA</v>
      </c>
    </row>
    <row r="394" spans="1:1" ht="12.75" x14ac:dyDescent="0.2">
      <c r="A394" s="2" t="str">
        <f ca="1">IFERROR(__xludf.DUMMYFUNCTION("""COMPUTED_VALUE"""),"GRUPO OPTICO ANDES SAS")</f>
        <v>GRUPO OPTICO ANDES SAS</v>
      </c>
    </row>
    <row r="395" spans="1:1" ht="12.75" x14ac:dyDescent="0.2">
      <c r="A395" s="2" t="str">
        <f ca="1">IFERROR(__xludf.DUMMYFUNCTION("""COMPUTED_VALUE"""),"SOCIEDAD HOTELERA TEQUENDAMA S.A.")</f>
        <v>SOCIEDAD HOTELERA TEQUENDAMA S.A.</v>
      </c>
    </row>
    <row r="396" spans="1:1" ht="12.75" x14ac:dyDescent="0.2">
      <c r="A396" s="2" t="str">
        <f ca="1">IFERROR(__xludf.DUMMYFUNCTION("""COMPUTED_VALUE"""),"AUTOVIA NEIVA GirardotS A S")</f>
        <v>AUTOVIA NEIVA GirardotS A S</v>
      </c>
    </row>
    <row r="397" spans="1:1" ht="12.75" x14ac:dyDescent="0.2">
      <c r="A397" s="2" t="str">
        <f ca="1">IFERROR(__xludf.DUMMYFUNCTION("""COMPUTED_VALUE"""),"POLYAGRO S A S")</f>
        <v>POLYAGRO S A S</v>
      </c>
    </row>
    <row r="398" spans="1:1" ht="12.75" x14ac:dyDescent="0.2">
      <c r="A398" s="2" t="str">
        <f ca="1">IFERROR(__xludf.DUMMYFUNCTION("""COMPUTED_VALUE"""),"DISMAPRO LAMINAS SAS")</f>
        <v>DISMAPRO LAMINAS SAS</v>
      </c>
    </row>
    <row r="399" spans="1:1" ht="12.75" x14ac:dyDescent="0.2">
      <c r="A399" s="2" t="str">
        <f ca="1">IFERROR(__xludf.DUMMYFUNCTION("""COMPUTED_VALUE"""),"NETWORK COL SAS")</f>
        <v>NETWORK COL SAS</v>
      </c>
    </row>
    <row r="400" spans="1:1" ht="12.75" x14ac:dyDescent="0.2">
      <c r="A400" s="2" t="str">
        <f ca="1">IFERROR(__xludf.DUMMYFUNCTION("""COMPUTED_VALUE"""),"JÚnicaL MEDICAL SAS")</f>
        <v>JÚnicaL MEDICAL SAS</v>
      </c>
    </row>
    <row r="401" spans="1:1" ht="12.75" x14ac:dyDescent="0.2">
      <c r="A401" s="2" t="str">
        <f ca="1">IFERROR(__xludf.DUMMYFUNCTION("""COMPUTED_VALUE"""),"ACI PROYECTOS SAS")</f>
        <v>ACI PROYECTOS SAS</v>
      </c>
    </row>
    <row r="402" spans="1:1" ht="12.75" x14ac:dyDescent="0.2">
      <c r="A402" s="2" t="str">
        <f ca="1">IFERROR(__xludf.DUMMYFUNCTION("""COMPUTED_VALUE"""),"CEMEX COLOMBIA S.A")</f>
        <v>CEMEX COLOMBIA S.A</v>
      </c>
    </row>
    <row r="403" spans="1:1" ht="89.25" x14ac:dyDescent="0.2">
      <c r="A403" s="2" t="str">
        <f ca="1">IFERROR(__xludf.DUMMYFUNCTION("""COMPUTED_VALUE"""),"GRUPO CEMEX
(CEMEX COLOMBIA S.A 
CEMEX ADMINISTRACIONES LTDA
CEMEX TRANSPORTES DE COLOMBIA S.A.
CEMEX SOLUCIONES S.A.S
CEMEX PREMEZCLADOS DE
COLOMBIA S.A CEMEX ENERGY S.A.S. )")</f>
        <v>GRUPO CEMEX
(CEMEX COLOMBIA S.A 
CEMEX ADMINISTRACIONES LTDA
CEMEX TRANSPORTES DE COLOMBIA S.A.
CEMEX SOLUCIONES S.A.S
CEMEX PREMEZCLADOS DE
COLOMBIA S.A CEMEX ENERGY S.A.S. )</v>
      </c>
    </row>
    <row r="404" spans="1:1" ht="12.75" x14ac:dyDescent="0.2">
      <c r="A404" s="2" t="str">
        <f ca="1">IFERROR(__xludf.DUMMYFUNCTION("""COMPUTED_VALUE"""),"14 EMPRESAS")</f>
        <v>14 EMPRESAS</v>
      </c>
    </row>
    <row r="405" spans="1:1" ht="12.75" x14ac:dyDescent="0.2">
      <c r="A405" s="2" t="str">
        <f ca="1">IFERROR(__xludf.DUMMYFUNCTION("""COMPUTED_VALUE"""),"3B PROYECTOS")</f>
        <v>3B PROYECTOS</v>
      </c>
    </row>
    <row r="406" spans="1:1" ht="25.5" x14ac:dyDescent="0.2">
      <c r="A406" s="2" t="str">
        <f ca="1">IFERROR(__xludf.DUMMYFUNCTION("""COMPUTED_VALUE"""),"ABACO COLOMBIA AJUSTADORES INTERNACIONALES SAS")</f>
        <v>ABACO COLOMBIA AJUSTADORES INTERNACIONALES SAS</v>
      </c>
    </row>
    <row r="407" spans="1:1" ht="12.75" x14ac:dyDescent="0.2">
      <c r="A407" s="2" t="str">
        <f ca="1">IFERROR(__xludf.DUMMYFUNCTION("""COMPUTED_VALUE"""),"ABC DE SERVICIOS SAS")</f>
        <v>ABC DE SERVICIOS SAS</v>
      </c>
    </row>
    <row r="408" spans="1:1" ht="12.75" x14ac:dyDescent="0.2">
      <c r="A408" s="2" t="str">
        <f ca="1">IFERROR(__xludf.DUMMYFUNCTION("""COMPUTED_VALUE"""),"ABCINFUSE S.A.S")</f>
        <v>ABCINFUSE S.A.S</v>
      </c>
    </row>
    <row r="409" spans="1:1" ht="12.75" x14ac:dyDescent="0.2">
      <c r="A409" s="2" t="str">
        <f ca="1">IFERROR(__xludf.DUMMYFUNCTION("""COMPUTED_VALUE"""),"ABCOLOR CARTON DISPLAY SAS")</f>
        <v>ABCOLOR CARTON DISPLAY SAS</v>
      </c>
    </row>
    <row r="410" spans="1:1" ht="12.75" x14ac:dyDescent="0.2">
      <c r="A410" s="2" t="str">
        <f ca="1">IFERROR(__xludf.DUMMYFUNCTION("""COMPUTED_VALUE"""),"ABCONTROL INGENIERIA SAS")</f>
        <v>ABCONTROL INGENIERIA SAS</v>
      </c>
    </row>
    <row r="411" spans="1:1" ht="25.5" x14ac:dyDescent="0.2">
      <c r="A411" s="2" t="str">
        <f ca="1">IFERROR(__xludf.DUMMYFUNCTION("""COMPUTED_VALUE"""),"ABECOL DEMOLICIONES Y CONSTRUCCIONES S.A.S.")</f>
        <v>ABECOL DEMOLICIONES Y CONSTRUCCIONES S.A.S.</v>
      </c>
    </row>
    <row r="412" spans="1:1" ht="12.75" x14ac:dyDescent="0.2">
      <c r="A412" s="2" t="str">
        <f ca="1">IFERROR(__xludf.DUMMYFUNCTION("""COMPUTED_VALUE"""),"ACCENTURE LTDA")</f>
        <v>ACCENTURE LTDA</v>
      </c>
    </row>
    <row r="413" spans="1:1" ht="12.75" x14ac:dyDescent="0.2">
      <c r="A413" s="2" t="str">
        <f ca="1">IFERROR(__xludf.DUMMYFUNCTION("""COMPUTED_VALUE"""),"ACCORHOTELS COLOMBIA")</f>
        <v>ACCORHOTELS COLOMBIA</v>
      </c>
    </row>
    <row r="414" spans="1:1" ht="12.75" x14ac:dyDescent="0.2">
      <c r="A414" s="2" t="str">
        <f ca="1">IFERROR(__xludf.DUMMYFUNCTION("""COMPUTED_VALUE"""),"ADIDAS COLOMBIA LTDA")</f>
        <v>ADIDAS COLOMBIA LTDA</v>
      </c>
    </row>
    <row r="415" spans="1:1" ht="12.75" x14ac:dyDescent="0.2">
      <c r="A415" s="2" t="str">
        <f ca="1">IFERROR(__xludf.DUMMYFUNCTION("""COMPUTED_VALUE"""),"ADIDAS COLOMBIA LTDA Administrativa")</f>
        <v>ADIDAS COLOMBIA LTDA Administrativa</v>
      </c>
    </row>
    <row r="416" spans="1:1" ht="12.75" x14ac:dyDescent="0.2">
      <c r="A416" s="2" t="str">
        <f ca="1">IFERROR(__xludf.DUMMYFUNCTION("""COMPUTED_VALUE"""),"ADIDAS COLOMBIA LTDA Administrativa")</f>
        <v>ADIDAS COLOMBIA LTDA Administrativa</v>
      </c>
    </row>
    <row r="417" spans="1:1" ht="12.75" x14ac:dyDescent="0.2">
      <c r="A417" s="2" t="str">
        <f ca="1">IFERROR(__xludf.DUMMYFUNCTION("""COMPUTED_VALUE"""),"ADIDAS COLOMBIA LTDA - Américas II")</f>
        <v>ADIDAS COLOMBIA LTDA - Américas II</v>
      </c>
    </row>
    <row r="418" spans="1:1" ht="12.75" x14ac:dyDescent="0.2">
      <c r="A418" s="2" t="str">
        <f ca="1">IFERROR(__xludf.DUMMYFUNCTION("""COMPUTED_VALUE"""),"ADIDAS COLOMBIA LTDA - BCS La Felicidad")</f>
        <v>ADIDAS COLOMBIA LTDA - BCS La Felicidad</v>
      </c>
    </row>
    <row r="419" spans="1:1" ht="12.75" x14ac:dyDescent="0.2">
      <c r="A419" s="2" t="str">
        <f ca="1">IFERROR(__xludf.DUMMYFUNCTION("""COMPUTED_VALUE"""),"ADIDAS COLOMBIA LTDA - C.C Andino")</f>
        <v>ADIDAS COLOMBIA LTDA - C.C Andino</v>
      </c>
    </row>
    <row r="420" spans="1:1" ht="12.75" x14ac:dyDescent="0.2">
      <c r="A420" s="2" t="str">
        <f ca="1">IFERROR(__xludf.DUMMYFUNCTION("""COMPUTED_VALUE"""),"ADIDAS COLOMBIA LTDA - C.C Gran Estación")</f>
        <v>ADIDAS COLOMBIA LTDA - C.C Gran Estación</v>
      </c>
    </row>
    <row r="421" spans="1:1" ht="12.75" x14ac:dyDescent="0.2">
      <c r="A421" s="2" t="str">
        <f ca="1">IFERROR(__xludf.DUMMYFUNCTION("""COMPUTED_VALUE"""),"ADIDAS COLOMBIA LTDA - C.C Nuestro Bogotá")</f>
        <v>ADIDAS COLOMBIA LTDA - C.C Nuestro Bogotá</v>
      </c>
    </row>
    <row r="422" spans="1:1" ht="12.75" x14ac:dyDescent="0.2">
      <c r="A422" s="2" t="str">
        <f ca="1">IFERROR(__xludf.DUMMYFUNCTION("""COMPUTED_VALUE"""),"ADIDAS COLOMBIA LTDA - Calle 122")</f>
        <v>ADIDAS COLOMBIA LTDA - Calle 122</v>
      </c>
    </row>
    <row r="423" spans="1:1" ht="12.75" x14ac:dyDescent="0.2">
      <c r="A423" s="2" t="str">
        <f ca="1">IFERROR(__xludf.DUMMYFUNCTION("""COMPUTED_VALUE"""),"ADIDAS COLOMBIA LTDA - Calle 17")</f>
        <v>ADIDAS COLOMBIA LTDA - Calle 17</v>
      </c>
    </row>
    <row r="424" spans="1:1" ht="12.75" x14ac:dyDescent="0.2">
      <c r="A424" s="2" t="str">
        <f ca="1">IFERROR(__xludf.DUMMYFUNCTION("""COMPUTED_VALUE"""),"ADIDAS COLOMBIA LTDA - Calle 82")</f>
        <v>ADIDAS COLOMBIA LTDA - Calle 82</v>
      </c>
    </row>
    <row r="425" spans="1:1" ht="12.75" x14ac:dyDescent="0.2">
      <c r="A425" s="2" t="str">
        <f ca="1">IFERROR(__xludf.DUMMYFUNCTION("""COMPUTED_VALUE"""),"ADIDAS COLOMBIA LTDA - CC Titan Plaza")</f>
        <v>ADIDAS COLOMBIA LTDA - CC Titan Plaza</v>
      </c>
    </row>
    <row r="426" spans="1:1" ht="12.75" x14ac:dyDescent="0.2">
      <c r="A426" s="2" t="str">
        <f ca="1">IFERROR(__xludf.DUMMYFUNCTION("""COMPUTED_VALUE"""),"ADIDAS COLOMBIA LTDA - Cedritos")</f>
        <v>ADIDAS COLOMBIA LTDA - Cedritos</v>
      </c>
    </row>
    <row r="427" spans="1:1" ht="12.75" x14ac:dyDescent="0.2">
      <c r="A427" s="2" t="str">
        <f ca="1">IFERROR(__xludf.DUMMYFUNCTION("""COMPUTED_VALUE"""),"ADIDAS COLOMBIA LTDA - Centro Mayor")</f>
        <v>ADIDAS COLOMBIA LTDA - Centro Mayor</v>
      </c>
    </row>
    <row r="428" spans="1:1" ht="12.75" x14ac:dyDescent="0.2">
      <c r="A428" s="2" t="str">
        <f ca="1">IFERROR(__xludf.DUMMYFUNCTION("""COMPUTED_VALUE"""),"ADIDAS COLOMBIA LTDA - Chapinero")</f>
        <v>ADIDAS COLOMBIA LTDA - Chapinero</v>
      </c>
    </row>
    <row r="429" spans="1:1" ht="12.75" x14ac:dyDescent="0.2">
      <c r="A429" s="2" t="str">
        <f ca="1">IFERROR(__xludf.DUMMYFUNCTION("""COMPUTED_VALUE"""),"ADIDAS COLOMBIA LTDA - Colina")</f>
        <v>ADIDAS COLOMBIA LTDA - Colina</v>
      </c>
    </row>
    <row r="430" spans="1:1" ht="12.75" x14ac:dyDescent="0.2">
      <c r="A430" s="2" t="str">
        <f ca="1">IFERROR(__xludf.DUMMYFUNCTION("""COMPUTED_VALUE"""),"ADIDAS COLOMBIA LTDA - Fontanar")</f>
        <v>ADIDAS COLOMBIA LTDA - Fontanar</v>
      </c>
    </row>
    <row r="431" spans="1:1" ht="12.75" x14ac:dyDescent="0.2">
      <c r="A431" s="2" t="str">
        <f ca="1">IFERROR(__xludf.DUMMYFUNCTION("""COMPUTED_VALUE"""),"ADIDAS COLOMBIA LTDA - Fontibón")</f>
        <v>ADIDAS COLOMBIA LTDA - Fontibón</v>
      </c>
    </row>
    <row r="432" spans="1:1" ht="12.75" x14ac:dyDescent="0.2">
      <c r="A432" s="2" t="str">
        <f ca="1">IFERROR(__xludf.DUMMYFUNCTION("""COMPUTED_VALUE"""),"ADIDAS COLOMBIA LTDA - Gran Plaza Soacha")</f>
        <v>ADIDAS COLOMBIA LTDA - Gran Plaza Soacha</v>
      </c>
    </row>
    <row r="433" spans="1:1" ht="12.75" x14ac:dyDescent="0.2">
      <c r="A433" s="2" t="str">
        <f ca="1">IFERROR(__xludf.DUMMYFUNCTION("""COMPUTED_VALUE"""),"ADIDAS COLOMBIA LTDA - Mall Plaza")</f>
        <v>ADIDAS COLOMBIA LTDA - Mall Plaza</v>
      </c>
    </row>
    <row r="434" spans="1:1" ht="12.75" x14ac:dyDescent="0.2">
      <c r="A434" s="2" t="str">
        <f ca="1">IFERROR(__xludf.DUMMYFUNCTION("""COMPUTED_VALUE"""),"ADIDAS COLOMBIA LTDA - MBFO Toberin")</f>
        <v>ADIDAS COLOMBIA LTDA - MBFO Toberin</v>
      </c>
    </row>
    <row r="435" spans="1:1" ht="12.75" x14ac:dyDescent="0.2">
      <c r="A435" s="2" t="str">
        <f ca="1">IFERROR(__xludf.DUMMYFUNCTION("""COMPUTED_VALUE"""),"ADIDAS COLOMBIA LTDA - Mega Américas")</f>
        <v>ADIDAS COLOMBIA LTDA - Mega Américas</v>
      </c>
    </row>
    <row r="436" spans="1:1" ht="12.75" x14ac:dyDescent="0.2">
      <c r="A436" s="2" t="str">
        <f ca="1">IFERROR(__xludf.DUMMYFUNCTION("""COMPUTED_VALUE"""),"ADIDAS COLOMBIA LTDA - Mega Américas")</f>
        <v>ADIDAS COLOMBIA LTDA - Mega Américas</v>
      </c>
    </row>
    <row r="437" spans="1:1" ht="12.75" x14ac:dyDescent="0.2">
      <c r="A437" s="2" t="str">
        <f ca="1">IFERROR(__xludf.DUMMYFUNCTION("""COMPUTED_VALUE"""),"ADIDAS COLOMBIA LTDA - Plaza de las americas")</f>
        <v>ADIDAS COLOMBIA LTDA - Plaza de las americas</v>
      </c>
    </row>
    <row r="438" spans="1:1" ht="12.75" x14ac:dyDescent="0.2">
      <c r="A438" s="2" t="str">
        <f ca="1">IFERROR(__xludf.DUMMYFUNCTION("""COMPUTED_VALUE"""),"ADIDAS COLOMBIA LTDA - Santafé")</f>
        <v>ADIDAS COLOMBIA LTDA - Santafé</v>
      </c>
    </row>
    <row r="439" spans="1:1" ht="12.75" x14ac:dyDescent="0.2">
      <c r="A439" s="2" t="str">
        <f ca="1">IFERROR(__xludf.DUMMYFUNCTION("""COMPUTED_VALUE"""),"ADIDAS COLOMBIA LTDA - Suba")</f>
        <v>ADIDAS COLOMBIA LTDA - Suba</v>
      </c>
    </row>
    <row r="440" spans="1:1" ht="12.75" x14ac:dyDescent="0.2">
      <c r="A440" s="2" t="str">
        <f ca="1">IFERROR(__xludf.DUMMYFUNCTION("""COMPUTED_VALUE"""),"ADIDAS COLOMBIA LTDA - Unicentro")</f>
        <v>ADIDAS COLOMBIA LTDA - Unicentro</v>
      </c>
    </row>
    <row r="441" spans="1:1" ht="12.75" x14ac:dyDescent="0.2">
      <c r="A441" s="2" t="str">
        <f ca="1">IFERROR(__xludf.DUMMYFUNCTION("""COMPUTED_VALUE"""),"ADL DIGITAL LAB S.A.S.")</f>
        <v>ADL DIGITAL LAB S.A.S.</v>
      </c>
    </row>
    <row r="442" spans="1:1" ht="25.5" x14ac:dyDescent="0.2">
      <c r="A442" s="2" t="str">
        <f ca="1">IFERROR(__xludf.DUMMYFUNCTION("""COMPUTED_VALUE"""),"ADMINISTRADORA COLOMBIANA DE PENSIONES COLPENSIONES")</f>
        <v>ADMINISTRADORA COLOMBIANA DE PENSIONES COLPENSIONES</v>
      </c>
    </row>
    <row r="443" spans="1:1" ht="38.25" x14ac:dyDescent="0.2">
      <c r="A443" s="2" t="str">
        <f ca="1">IFERROR(__xludf.DUMMYFUNCTION("""COMPUTED_VALUE"""),"ADRES - ADMINISTRADORA DE LOS RECURSOS DEL SISTEMA GENERAL DE SEGURIDAD SOCIAL EN SALUD")</f>
        <v>ADRES - ADMINISTRADORA DE LOS RECURSOS DEL SISTEMA GENERAL DE SEGURIDAD SOCIAL EN SALUD</v>
      </c>
    </row>
    <row r="444" spans="1:1" ht="12.75" x14ac:dyDescent="0.2">
      <c r="A444" s="2" t="str">
        <f ca="1">IFERROR(__xludf.DUMMYFUNCTION("""COMPUTED_VALUE"""),"ADS PHARMA SAS")</f>
        <v>ADS PHARMA SAS</v>
      </c>
    </row>
    <row r="445" spans="1:1" ht="12.75" x14ac:dyDescent="0.2">
      <c r="A445" s="2" t="str">
        <f ca="1">IFERROR(__xludf.DUMMYFUNCTION("""COMPUTED_VALUE"""),"AECOM TECHNICAL SERVICES INC")</f>
        <v>AECOM TECHNICAL SERVICES INC</v>
      </c>
    </row>
    <row r="446" spans="1:1" ht="12.75" x14ac:dyDescent="0.2">
      <c r="A446" s="2" t="str">
        <f ca="1">IFERROR(__xludf.DUMMYFUNCTION("""COMPUTED_VALUE"""),"AGENCIA DE EMPLEO COMPENSAR")</f>
        <v>AGENCIA DE EMPLEO COMPENSAR</v>
      </c>
    </row>
    <row r="447" spans="1:1" ht="12.75" x14ac:dyDescent="0.2">
      <c r="A447" s="2" t="str">
        <f ca="1">IFERROR(__xludf.DUMMYFUNCTION("""COMPUTED_VALUE"""),"AGENCIA DE EMPLEO COMPENSAR - BOSA")</f>
        <v>AGENCIA DE EMPLEO COMPENSAR - BOSA</v>
      </c>
    </row>
    <row r="448" spans="1:1" ht="12.75" x14ac:dyDescent="0.2">
      <c r="A448" s="2" t="str">
        <f ca="1">IFERROR(__xludf.DUMMYFUNCTION("""COMPUTED_VALUE"""),"AGENCIA DE EMPLEO COMPENSAR - Chapinero")</f>
        <v>AGENCIA DE EMPLEO COMPENSAR - Chapinero</v>
      </c>
    </row>
    <row r="449" spans="1:1" ht="12.75" x14ac:dyDescent="0.2">
      <c r="A449" s="2" t="str">
        <f ca="1">IFERROR(__xludf.DUMMYFUNCTION("""COMPUTED_VALUE"""),"AGENCIA DE EMPLEO COMPENSAR - GIRARDOT")</f>
        <v>AGENCIA DE EMPLEO COMPENSAR - GIRARDOT</v>
      </c>
    </row>
    <row r="450" spans="1:1" ht="12.75" x14ac:dyDescent="0.2">
      <c r="A450" s="2" t="str">
        <f ca="1">IFERROR(__xludf.DUMMYFUNCTION("""COMPUTED_VALUE"""),"AGENCIA DE EMPLEO COMPENSAR - KENNEDY")</f>
        <v>AGENCIA DE EMPLEO COMPENSAR - KENNEDY</v>
      </c>
    </row>
    <row r="451" spans="1:1" ht="12.75" x14ac:dyDescent="0.2">
      <c r="A451" s="2" t="str">
        <f ca="1">IFERROR(__xludf.DUMMYFUNCTION("""COMPUTED_VALUE"""),"AGENCIA DE EMPLEO COMPENSAR - SUBA")</f>
        <v>AGENCIA DE EMPLEO COMPENSAR - SUBA</v>
      </c>
    </row>
    <row r="452" spans="1:1" ht="12.75" x14ac:dyDescent="0.2">
      <c r="A452" s="2" t="str">
        <f ca="1">IFERROR(__xludf.DUMMYFUNCTION("""COMPUTED_VALUE"""),"AGENCIA DE SEGUROS FALABELLA LTDA")</f>
        <v>AGENCIA DE SEGUROS FALABELLA LTDA</v>
      </c>
    </row>
    <row r="453" spans="1:1" ht="25.5" x14ac:dyDescent="0.2">
      <c r="A453" s="2" t="str">
        <f ca="1">IFERROR(__xludf.DUMMYFUNCTION("""COMPUTED_VALUE"""),"AGENCIA DE SEGUROS FALABELLA LTDA - DIVER PLAZA")</f>
        <v>AGENCIA DE SEGUROS FALABELLA LTDA - DIVER PLAZA</v>
      </c>
    </row>
    <row r="454" spans="1:1" ht="12.75" x14ac:dyDescent="0.2">
      <c r="A454" s="2" t="str">
        <f ca="1">IFERROR(__xludf.DUMMYFUNCTION("""COMPUTED_VALUE"""),"AGENCIA DE VIAJES Y TURISMO AVIATUR S.A.S")</f>
        <v>AGENCIA DE VIAJES Y TURISMO AVIATUR S.A.S</v>
      </c>
    </row>
    <row r="455" spans="1:1" ht="12.75" x14ac:dyDescent="0.2">
      <c r="A455" s="2" t="str">
        <f ca="1">IFERROR(__xludf.DUMMYFUNCTION("""COMPUTED_VALUE"""),"AGENCIA NACIONAL DE SEGURIDAD VIAL - ANSV")</f>
        <v>AGENCIA NACIONAL DE SEGURIDAD VIAL - ANSV</v>
      </c>
    </row>
    <row r="456" spans="1:1" ht="12.75" x14ac:dyDescent="0.2">
      <c r="A456" s="2" t="str">
        <f ca="1">IFERROR(__xludf.DUMMYFUNCTION("""COMPUTED_VALUE"""),"AGENCIA NACIONAL DE TIERRAS")</f>
        <v>AGENCIA NACIONAL DE TIERRAS</v>
      </c>
    </row>
    <row r="457" spans="1:1" ht="12.75" x14ac:dyDescent="0.2">
      <c r="A457" s="2" t="str">
        <f ca="1">IFERROR(__xludf.DUMMYFUNCTION("""COMPUTED_VALUE"""),"AGENCIA NACIONAL DEL ESPECTRO")</f>
        <v>AGENCIA NACIONAL DEL ESPECTRO</v>
      </c>
    </row>
    <row r="458" spans="1:1" ht="25.5" x14ac:dyDescent="0.2">
      <c r="A458" s="2" t="str">
        <f ca="1">IFERROR(__xludf.DUMMYFUNCTION("""COMPUTED_VALUE"""),"AGENCIA PARA LA REINCORPORACIÓN Y LA NORMALIZACIÓN - ARN")</f>
        <v>AGENCIA PARA LA REINCORPORACIÓN Y LA NORMALIZACIÓN - ARN</v>
      </c>
    </row>
    <row r="459" spans="1:1" ht="12.75" x14ac:dyDescent="0.2">
      <c r="A459" s="2" t="str">
        <f ca="1">IFERROR(__xludf.DUMMYFUNCTION("""COMPUTED_VALUE"""),"AGQ PRODYCON COLOMBIA SAS")</f>
        <v>AGQ PRODYCON COLOMBIA SAS</v>
      </c>
    </row>
    <row r="460" spans="1:1" ht="25.5" x14ac:dyDescent="0.2">
      <c r="A460" s="2" t="str">
        <f ca="1">IFERROR(__xludf.DUMMYFUNCTION("""COMPUTED_VALUE"""),"AGS COLOMBIA SAS- ASESORES GERENCIALES Y AUDITORES EN SALUD")</f>
        <v>AGS COLOMBIA SAS- ASESORES GERENCIALES Y AUDITORES EN SALUD</v>
      </c>
    </row>
    <row r="461" spans="1:1" ht="12.75" x14ac:dyDescent="0.2">
      <c r="A461" s="2" t="str">
        <f ca="1">IFERROR(__xludf.DUMMYFUNCTION("""COMPUTED_VALUE"""),"AIRAVATA")</f>
        <v>AIRAVATA</v>
      </c>
    </row>
    <row r="462" spans="1:1" ht="12.75" x14ac:dyDescent="0.2">
      <c r="A462" s="2" t="str">
        <f ca="1">IFERROR(__xludf.DUMMYFUNCTION("""COMPUTED_VALUE"""),"AITEC S.A.S.")</f>
        <v>AITEC S.A.S.</v>
      </c>
    </row>
    <row r="463" spans="1:1" ht="12.75" x14ac:dyDescent="0.2">
      <c r="A463" s="2" t="str">
        <f ca="1">IFERROR(__xludf.DUMMYFUNCTION("""COMPUTED_VALUE"""),"AJOVER DARNEL SAS")</f>
        <v>AJOVER DARNEL SAS</v>
      </c>
    </row>
    <row r="464" spans="1:1" ht="12.75" x14ac:dyDescent="0.2">
      <c r="A464" s="2" t="str">
        <f ca="1">IFERROR(__xludf.DUMMYFUNCTION("""COMPUTED_VALUE"""),"ALCALDÍA DE SOPÓ")</f>
        <v>ALCALDÍA DE SOPÓ</v>
      </c>
    </row>
    <row r="465" spans="1:1" ht="38.25" x14ac:dyDescent="0.2">
      <c r="A465" s="2" t="str">
        <f ca="1">IFERROR(__xludf.DUMMYFUNCTION("""COMPUTED_VALUE"""),"ALCALDÍA MUNICIPAL ChíaSECRETARIA DE DESARROLLO SOCIAL Y ECONÓMICO - [CLINICA Chía]")</f>
        <v>ALCALDÍA MUNICIPAL ChíaSECRETARIA DE DESARROLLO SOCIAL Y ECONÓMICO - [CLINICA Chía]</v>
      </c>
    </row>
    <row r="466" spans="1:1" ht="12.75" x14ac:dyDescent="0.2">
      <c r="A466" s="2" t="str">
        <f ca="1">IFERROR(__xludf.DUMMYFUNCTION("""COMPUTED_VALUE"""),"ALIMENTOS CÁRNICOS S.A.S")</f>
        <v>ALIMENTOS CÁRNICOS S.A.S</v>
      </c>
    </row>
    <row r="467" spans="1:1" ht="12.75" x14ac:dyDescent="0.2">
      <c r="A467" s="2" t="str">
        <f ca="1">IFERROR(__xludf.DUMMYFUNCTION("""COMPUTED_VALUE"""),"ALITAS COLOMBIANAS SAS")</f>
        <v>ALITAS COLOMBIANAS SAS</v>
      </c>
    </row>
    <row r="468" spans="1:1" ht="12.75" x14ac:dyDescent="0.2">
      <c r="A468" s="2" t="str">
        <f ca="1">IFERROR(__xludf.DUMMYFUNCTION("""COMPUTED_VALUE"""),"ALMACONTAC SAS")</f>
        <v>ALMACONTAC SAS</v>
      </c>
    </row>
    <row r="469" spans="1:1" ht="12.75" x14ac:dyDescent="0.2">
      <c r="A469" s="2" t="str">
        <f ca="1">IFERROR(__xludf.DUMMYFUNCTION("""COMPUTED_VALUE"""),"ALMARCHIVOS S.A. - Bogotá")</f>
        <v>ALMARCHIVOS S.A. - Bogotá</v>
      </c>
    </row>
    <row r="470" spans="1:1" ht="12.75" x14ac:dyDescent="0.2">
      <c r="A470" s="2" t="str">
        <f ca="1">IFERROR(__xludf.DUMMYFUNCTION("""COMPUTED_VALUE"""),"ALMARCHIVOS S.A. - FUNZA")</f>
        <v>ALMARCHIVOS S.A. - FUNZA</v>
      </c>
    </row>
    <row r="471" spans="1:1" ht="12.75" x14ac:dyDescent="0.2">
      <c r="A471" s="2" t="str">
        <f ca="1">IFERROR(__xludf.DUMMYFUNCTION("""COMPUTED_VALUE"""),"ALVARO AUGUSTO VERGARA")</f>
        <v>ALVARO AUGUSTO VERGARA</v>
      </c>
    </row>
    <row r="472" spans="1:1" ht="12.75" x14ac:dyDescent="0.2">
      <c r="A472" s="2" t="str">
        <f ca="1">IFERROR(__xludf.DUMMYFUNCTION("""COMPUTED_VALUE"""),"AM CONSTRUCTORES S.A.")</f>
        <v>AM CONSTRUCTORES S.A.</v>
      </c>
    </row>
    <row r="473" spans="1:1" ht="12.75" x14ac:dyDescent="0.2">
      <c r="A473" s="2" t="str">
        <f ca="1">IFERROR(__xludf.DUMMYFUNCTION("""COMPUTED_VALUE"""),"AMERICAS BUSINESS PROCESS SERVICES S A")</f>
        <v>AMERICAS BUSINESS PROCESS SERVICES S A</v>
      </c>
    </row>
    <row r="474" spans="1:1" ht="12.75" x14ac:dyDescent="0.2">
      <c r="A474" s="2" t="str">
        <f ca="1">IFERROR(__xludf.DUMMYFUNCTION("""COMPUTED_VALUE"""),"AMEZQUITA &amp; CIA S.A.S")</f>
        <v>AMEZQUITA &amp; CIA S.A.S</v>
      </c>
    </row>
    <row r="475" spans="1:1" ht="38.25" x14ac:dyDescent="0.2">
      <c r="A475" s="2" t="str">
        <f ca="1">IFERROR(__xludf.DUMMYFUNCTION("""COMPUTED_VALUE"""),"AMV COLOMBIA 
CORPORACIÓN AUTORREGULADOR DEL MERCADEO DE VALORES DE COLOMBIA")</f>
        <v>AMV COLOMBIA 
CORPORACIÓN AUTORREGULADOR DEL MERCADEO DE VALORES DE COLOMBIA</v>
      </c>
    </row>
    <row r="476" spans="1:1" ht="12.75" x14ac:dyDescent="0.2">
      <c r="A476" s="2" t="str">
        <f ca="1">IFERROR(__xludf.DUMMYFUNCTION("""COMPUTED_VALUE"""),"ANASCOL SAS")</f>
        <v>ANASCOL SAS</v>
      </c>
    </row>
    <row r="477" spans="1:1" ht="12.75" x14ac:dyDescent="0.2">
      <c r="A477" s="2" t="str">
        <f ca="1">IFERROR(__xludf.DUMMYFUNCTION("""COMPUTED_VALUE"""),"ANAVA TRANSPORT SAS")</f>
        <v>ANAVA TRANSPORT SAS</v>
      </c>
    </row>
    <row r="478" spans="1:1" ht="12.75" x14ac:dyDescent="0.2">
      <c r="A478" s="2" t="str">
        <f ca="1">IFERROR(__xludf.DUMMYFUNCTION("""COMPUTED_VALUE"""),"ANTONIO BELTRAN MUEBLES Y ACCESORIOS SAS")</f>
        <v>ANTONIO BELTRAN MUEBLES Y ACCESORIOS SAS</v>
      </c>
    </row>
    <row r="479" spans="1:1" ht="25.5" x14ac:dyDescent="0.2">
      <c r="A479" s="2" t="str">
        <f ca="1">IFERROR(__xludf.DUMMYFUNCTION("""COMPUTED_VALUE"""),"APC COLOMBIA - AGENCIA PRESIDENCIAL DE COOPERACIÓN INTERNACIONAL")</f>
        <v>APC COLOMBIA - AGENCIA PRESIDENCIAL DE COOPERACIÓN INTERNACIONAL</v>
      </c>
    </row>
    <row r="480" spans="1:1" ht="12.75" x14ac:dyDescent="0.2">
      <c r="A480" s="2" t="str">
        <f ca="1">IFERROR(__xludf.DUMMYFUNCTION("""COMPUTED_VALUE"""),"APORTES EN LINEA S.A")</f>
        <v>APORTES EN LINEA S.A</v>
      </c>
    </row>
    <row r="481" spans="1:1" ht="12.75" x14ac:dyDescent="0.2">
      <c r="A481" s="2" t="str">
        <f ca="1">IFERROR(__xludf.DUMMYFUNCTION("""COMPUTED_VALUE"""),"APPENZELL SAS")</f>
        <v>APPENZELL SAS</v>
      </c>
    </row>
    <row r="482" spans="1:1" ht="12.75" x14ac:dyDescent="0.2">
      <c r="A482" s="2" t="str">
        <f ca="1">IFERROR(__xludf.DUMMYFUNCTION("""COMPUTED_VALUE"""),"APPLE TREE COMMÚnicaTIONS COLOMBIA SAS")</f>
        <v>APPLE TREE COMMÚnicaTIONS COLOMBIA SAS</v>
      </c>
    </row>
    <row r="483" spans="1:1" ht="12.75" x14ac:dyDescent="0.2">
      <c r="A483" s="2" t="str">
        <f ca="1">IFERROR(__xludf.DUMMYFUNCTION("""COMPUTED_VALUE"""),"APPLUS NORCONTROL")</f>
        <v>APPLUS NORCONTROL</v>
      </c>
    </row>
    <row r="484" spans="1:1" ht="25.5" x14ac:dyDescent="0.2">
      <c r="A484" s="2" t="str">
        <f ca="1">IFERROR(__xludf.DUMMYFUNCTION("""COMPUTED_VALUE"""),"APPLUS NORCONTROL COLOMBIA LTDA
INGEANDINA CONSULTORES DE INGENIERÍA SAS")</f>
        <v>APPLUS NORCONTROL COLOMBIA LTDA
INGEANDINA CONSULTORES DE INGENIERÍA SAS</v>
      </c>
    </row>
    <row r="485" spans="1:1" ht="12.75" x14ac:dyDescent="0.2">
      <c r="A485" s="2" t="str">
        <f ca="1">IFERROR(__xludf.DUMMYFUNCTION("""COMPUTED_VALUE"""),"AQUAVIVA GESTIÓN E INGENIERÍA SAS")</f>
        <v>AQUAVIVA GESTIÓN E INGENIERÍA SAS</v>
      </c>
    </row>
    <row r="486" spans="1:1" ht="12.75" x14ac:dyDescent="0.2">
      <c r="A486" s="2" t="str">
        <f ca="1">IFERROR(__xludf.DUMMYFUNCTION("""COMPUTED_VALUE"""),"AQUINAS NETWORK COLOMBIA S.A.S.")</f>
        <v>AQUINAS NETWORK COLOMBIA S.A.S.</v>
      </c>
    </row>
    <row r="487" spans="1:1" ht="12.75" x14ac:dyDescent="0.2">
      <c r="A487" s="2" t="str">
        <f ca="1">IFERROR(__xludf.DUMMYFUNCTION("""COMPUTED_VALUE"""),"ARANDA SOFTWARE ANDINA SAS")</f>
        <v>ARANDA SOFTWARE ANDINA SAS</v>
      </c>
    </row>
    <row r="488" spans="1:1" ht="12.75" x14ac:dyDescent="0.2">
      <c r="A488" s="2" t="str">
        <f ca="1">IFERROR(__xludf.DUMMYFUNCTION("""COMPUTED_VALUE"""),"ARCELER S.A.S - UNIGRANADINOS")</f>
        <v>ARCELER S.A.S - UNIGRANADINOS</v>
      </c>
    </row>
    <row r="489" spans="1:1" ht="12.75" x14ac:dyDescent="0.2">
      <c r="A489" s="2" t="str">
        <f ca="1">IFERROR(__xludf.DUMMYFUNCTION("""COMPUTED_VALUE"""),"ARCOS DORADOS COLOMBIA S.A.S.")</f>
        <v>ARCOS DORADOS COLOMBIA S.A.S.</v>
      </c>
    </row>
    <row r="490" spans="1:1" ht="12.75" x14ac:dyDescent="0.2">
      <c r="A490" s="2" t="str">
        <f ca="1">IFERROR(__xludf.DUMMYFUNCTION("""COMPUTED_VALUE"""),"ARCOS DORADOS COLOMBIA S.A.S. - AV JIMENEZ")</f>
        <v>ARCOS DORADOS COLOMBIA S.A.S. - AV JIMENEZ</v>
      </c>
    </row>
    <row r="491" spans="1:1" ht="12.75" x14ac:dyDescent="0.2">
      <c r="A491" s="2" t="str">
        <f ca="1">IFERROR(__xludf.DUMMYFUNCTION("""COMPUTED_VALUE"""),"ARCOS DORADOS COLOMBIA S.A.S. - LOURDES")</f>
        <v>ARCOS DORADOS COLOMBIA S.A.S. - LOURDES</v>
      </c>
    </row>
    <row r="492" spans="1:1" ht="12.75" x14ac:dyDescent="0.2">
      <c r="A492" s="2" t="str">
        <f ca="1">IFERROR(__xludf.DUMMYFUNCTION("""COMPUTED_VALUE"""),"ARCOS DORADOS COLOMBIA S.A.S. - SOACHA")</f>
        <v>ARCOS DORADOS COLOMBIA S.A.S. - SOACHA</v>
      </c>
    </row>
    <row r="493" spans="1:1" ht="12.75" x14ac:dyDescent="0.2">
      <c r="A493" s="2" t="str">
        <f ca="1">IFERROR(__xludf.DUMMYFUNCTION("""COMPUTED_VALUE"""),"ARCOS DORADOS COLOMBIA S.A.S. 125 Autonorte")</f>
        <v>ARCOS DORADOS COLOMBIA S.A.S. 125 Autonorte</v>
      </c>
    </row>
    <row r="494" spans="1:1" ht="12.75" x14ac:dyDescent="0.2">
      <c r="A494" s="2" t="str">
        <f ca="1">IFERROR(__xludf.DUMMYFUNCTION("""COMPUTED_VALUE"""),"ARCOS DORADOS COLOMBIA S.A.S. Chapinero")</f>
        <v>ARCOS DORADOS COLOMBIA S.A.S. Chapinero</v>
      </c>
    </row>
    <row r="495" spans="1:1" ht="12.75" x14ac:dyDescent="0.2">
      <c r="A495" s="2" t="str">
        <f ca="1">IFERROR(__xludf.DUMMYFUNCTION("""COMPUTED_VALUE"""),"ARCOS DORADOS COLOMBIA S.A.S. NQS (Cedritos)")</f>
        <v>ARCOS DORADOS COLOMBIA S.A.S. NQS (Cedritos)</v>
      </c>
    </row>
    <row r="496" spans="1:1" ht="25.5" x14ac:dyDescent="0.2">
      <c r="A496" s="2" t="str">
        <f ca="1">IFERROR(__xludf.DUMMYFUNCTION("""COMPUTED_VALUE"""),"ARCOS DORADOS COLOMBIA S.A.S. sede Centro Mayor")</f>
        <v>ARCOS DORADOS COLOMBIA S.A.S. sede Centro Mayor</v>
      </c>
    </row>
    <row r="497" spans="1:1" ht="12.75" x14ac:dyDescent="0.2">
      <c r="A497" s="2" t="str">
        <f ca="1">IFERROR(__xludf.DUMMYFUNCTION("""COMPUTED_VALUE"""),"ARCOS DORADOS COLOMBIA S.A.S.- C.C SANTA FE")</f>
        <v>ARCOS DORADOS COLOMBIA S.A.S.- C.C SANTA FE</v>
      </c>
    </row>
    <row r="498" spans="1:1" ht="25.5" x14ac:dyDescent="0.2">
      <c r="A498" s="2" t="str">
        <f ca="1">IFERROR(__xludf.DUMMYFUNCTION("""COMPUTED_VALUE"""),"ARCOS DORADOS COLOMBIA S.A.S.- CENTRO COMERCIAL CIUDAD TUNAL")</f>
        <v>ARCOS DORADOS COLOMBIA S.A.S.- CENTRO COMERCIAL CIUDAD TUNAL</v>
      </c>
    </row>
    <row r="499" spans="1:1" ht="12.75" x14ac:dyDescent="0.2">
      <c r="A499" s="2" t="str">
        <f ca="1">IFERROR(__xludf.DUMMYFUNCTION("""COMPUTED_VALUE"""),"ARCOS DORADOS COLOMBIA S.A.S.- Chía")</f>
        <v>ARCOS DORADOS COLOMBIA S.A.S.- Chía</v>
      </c>
    </row>
    <row r="500" spans="1:1" ht="12.75" x14ac:dyDescent="0.2">
      <c r="A500" s="2" t="str">
        <f ca="1">IFERROR(__xludf.DUMMYFUNCTION("""COMPUTED_VALUE"""),"AGENCIA NACIONAL DEL ESPECTRO")</f>
        <v>AGENCIA NACIONAL DEL ESPECTRO</v>
      </c>
    </row>
    <row r="501" spans="1:1" ht="25.5" x14ac:dyDescent="0.2">
      <c r="A501" s="2" t="str">
        <f ca="1">IFERROR(__xludf.DUMMYFUNCTION("""COMPUTED_VALUE"""),"ARCOS DORADOS COLOMBIA S.A.S.- CIUDAD SALITRE")</f>
        <v>ARCOS DORADOS COLOMBIA S.A.S.- CIUDAD SALITRE</v>
      </c>
    </row>
    <row r="502" spans="1:1" ht="25.5" x14ac:dyDescent="0.2">
      <c r="A502" s="2" t="str">
        <f ca="1">IFERROR(__xludf.DUMMYFUNCTION("""COMPUTED_VALUE"""),"ARCOS DORADOS COLOMBIA S.A.S.- COLINA CAMPESTRE")</f>
        <v>ARCOS DORADOS COLOMBIA S.A.S.- COLINA CAMPESTRE</v>
      </c>
    </row>
    <row r="503" spans="1:1" ht="12.75" x14ac:dyDescent="0.2">
      <c r="A503" s="2" t="str">
        <f ca="1">IFERROR(__xludf.DUMMYFUNCTION("""COMPUTED_VALUE"""),"ARCOS DORADOS COLOMBIA S.A.S.- DIVER PLAZA")</f>
        <v>ARCOS DORADOS COLOMBIA S.A.S.- DIVER PLAZA</v>
      </c>
    </row>
    <row r="504" spans="1:1" ht="12.75" x14ac:dyDescent="0.2">
      <c r="A504" s="2" t="str">
        <f ca="1">IFERROR(__xludf.DUMMYFUNCTION("""COMPUTED_VALUE"""),"ARCOS DORADOS COLOMBIA S.A.S.- FLORESTA")</f>
        <v>ARCOS DORADOS COLOMBIA S.A.S.- FLORESTA</v>
      </c>
    </row>
    <row r="505" spans="1:1" ht="12.75" x14ac:dyDescent="0.2">
      <c r="A505" s="2" t="str">
        <f ca="1">IFERROR(__xludf.DUMMYFUNCTION("""COMPUTED_VALUE"""),"ARCOS DORADOS COLOMBIA S.A.S.- GALERIAS")</f>
        <v>ARCOS DORADOS COLOMBIA S.A.S.- GALERIAS</v>
      </c>
    </row>
    <row r="506" spans="1:1" ht="12.75" x14ac:dyDescent="0.2">
      <c r="A506" s="2" t="str">
        <f ca="1">IFERROR(__xludf.DUMMYFUNCTION("""COMPUTED_VALUE"""),"ARCOS DORADOS COLOMBIA S.A.S.- HAYUELOS")</f>
        <v>ARCOS DORADOS COLOMBIA S.A.S.- HAYUELOS</v>
      </c>
    </row>
    <row r="507" spans="1:1" ht="12.75" x14ac:dyDescent="0.2">
      <c r="A507" s="2" t="str">
        <f ca="1">IFERROR(__xludf.DUMMYFUNCTION("""COMPUTED_VALUE"""),"ARCOS DORADOS COLOMBIA S.A.S.- POLO")</f>
        <v>ARCOS DORADOS COLOMBIA S.A.S.- POLO</v>
      </c>
    </row>
    <row r="508" spans="1:1" ht="12.75" x14ac:dyDescent="0.2">
      <c r="A508" s="2" t="str">
        <f ca="1">IFERROR(__xludf.DUMMYFUNCTION("""COMPUTED_VALUE"""),"ARCOS DORADOS COLOMBIA S.A.S.-Americas")</f>
        <v>ARCOS DORADOS COLOMBIA S.A.S.-Americas</v>
      </c>
    </row>
    <row r="509" spans="1:1" ht="25.5" x14ac:dyDescent="0.2">
      <c r="A509" s="2" t="str">
        <f ca="1">IFERROR(__xludf.DUMMYFUNCTION("""COMPUTED_VALUE"""),"ARCOS DORADOS COLOMBIA S.A.S.-AUTOPISTA NORTE")</f>
        <v>ARCOS DORADOS COLOMBIA S.A.S.-AUTOPISTA NORTE</v>
      </c>
    </row>
    <row r="510" spans="1:1" ht="12.75" x14ac:dyDescent="0.2">
      <c r="A510" s="2" t="str">
        <f ca="1">IFERROR(__xludf.DUMMYFUNCTION("""COMPUTED_VALUE"""),"ARCOS DORADOS COLOMBIA S.A.S.-CALIMA")</f>
        <v>ARCOS DORADOS COLOMBIA S.A.S.-CALIMA</v>
      </c>
    </row>
    <row r="511" spans="1:1" ht="25.5" x14ac:dyDescent="0.2">
      <c r="A511" s="2" t="str">
        <f ca="1">IFERROR(__xludf.DUMMYFUNCTION("""COMPUTED_VALUE"""),"ARCOS DORADOS COLOMBIA S.A.S.-PRIMERA DE MAYO")</f>
        <v>ARCOS DORADOS COLOMBIA S.A.S.-PRIMERA DE MAYO</v>
      </c>
    </row>
    <row r="512" spans="1:1" ht="25.5" x14ac:dyDescent="0.2">
      <c r="A512" s="2" t="str">
        <f ca="1">IFERROR(__xludf.DUMMYFUNCTION("""COMPUTED_VALUE"""),"ARCOS DORADOS COLOMBIA S.A.S.-TRANSVERSAL 91 - SUBA")</f>
        <v>ARCOS DORADOS COLOMBIA S.A.S.-TRANSVERSAL 91 - SUBA</v>
      </c>
    </row>
    <row r="513" spans="1:1" ht="12.75" x14ac:dyDescent="0.2">
      <c r="A513" s="2" t="str">
        <f ca="1">IFERROR(__xludf.DUMMYFUNCTION("""COMPUTED_VALUE"""),"ARD INC SUCURSAL COLOMBIA")</f>
        <v>ARD INC SUCURSAL COLOMBIA</v>
      </c>
    </row>
    <row r="514" spans="1:1" ht="12.75" x14ac:dyDescent="0.2">
      <c r="A514" s="2" t="str">
        <f ca="1">IFERROR(__xludf.DUMMYFUNCTION("""COMPUTED_VALUE"""),"AREA CUADRADA")</f>
        <v>AREA CUADRADA</v>
      </c>
    </row>
    <row r="515" spans="1:1" ht="12.75" x14ac:dyDescent="0.2">
      <c r="A515" s="2" t="str">
        <f ca="1">IFERROR(__xludf.DUMMYFUNCTION("""COMPUTED_VALUE"""),"CAJA DE RETIRO DE FUERZAS MILITARES")</f>
        <v>CAJA DE RETIRO DE FUERZAS MILITARES</v>
      </c>
    </row>
    <row r="516" spans="1:1" ht="12.75" x14ac:dyDescent="0.2">
      <c r="A516" s="2" t="str">
        <f ca="1">IFERROR(__xludf.DUMMYFUNCTION("""COMPUTED_VALUE"""),"ARIADNA COMMÚnicaTIONS GROUP")</f>
        <v>ARIADNA COMMÚnicaTIONS GROUP</v>
      </c>
    </row>
    <row r="517" spans="1:1" ht="12.75" x14ac:dyDescent="0.2">
      <c r="A517" s="2" t="str">
        <f ca="1">IFERROR(__xludf.DUMMYFUNCTION("""COMPUTED_VALUE"""),"Arintia Group S.A.S")</f>
        <v>Arintia Group S.A.S</v>
      </c>
    </row>
    <row r="518" spans="1:1" ht="12.75" x14ac:dyDescent="0.2">
      <c r="A518" s="2" t="str">
        <f ca="1">IFERROR(__xludf.DUMMYFUNCTION("""COMPUTED_VALUE"""),"ARISTOS CONSULTORES DE GERENCIA S.A")</f>
        <v>ARISTOS CONSULTORES DE GERENCIA S.A</v>
      </c>
    </row>
    <row r="519" spans="1:1" ht="12.75" x14ac:dyDescent="0.2">
      <c r="A519" s="2" t="str">
        <f ca="1">IFERROR(__xludf.DUMMYFUNCTION("""COMPUTED_VALUE"""),"ARQUITECTURA EN ESTUDIOS SAS")</f>
        <v>ARQUITECTURA EN ESTUDIOS SAS</v>
      </c>
    </row>
    <row r="520" spans="1:1" ht="12.75" x14ac:dyDescent="0.2">
      <c r="A520" s="2" t="str">
        <f ca="1">IFERROR(__xludf.DUMMYFUNCTION("""COMPUTED_VALUE"""),"ARTESANÍAS DE COLOMBIA S.A.")</f>
        <v>ARTESANÍAS DE COLOMBIA S.A.</v>
      </c>
    </row>
    <row r="521" spans="1:1" ht="25.5" x14ac:dyDescent="0.2">
      <c r="A521" s="2" t="str">
        <f ca="1">IFERROR(__xludf.DUMMYFUNCTION("""COMPUTED_VALUE"""),"ARTHUR J GALLAGHER CORREDORES DE SEGUROS SA")</f>
        <v>ARTHUR J GALLAGHER CORREDORES DE SEGUROS SA</v>
      </c>
    </row>
    <row r="522" spans="1:1" ht="12.75" x14ac:dyDescent="0.2">
      <c r="A522" s="2" t="str">
        <f ca="1">IFERROR(__xludf.DUMMYFUNCTION("""COMPUTED_VALUE"""),"ASCH INFRAESTRUCTURAS SAS")</f>
        <v>ASCH INFRAESTRUCTURAS SAS</v>
      </c>
    </row>
    <row r="523" spans="1:1" ht="25.5" x14ac:dyDescent="0.2">
      <c r="A523" s="2" t="str">
        <f ca="1">IFERROR(__xludf.DUMMYFUNCTION("""COMPUTED_VALUE"""),"ASESORIAS Y SOLUCIONES EN CONTRATACION E INGENIERIA SAS - ASSOINCO SAS")</f>
        <v>ASESORIAS Y SOLUCIONES EN CONTRATACION E INGENIERIA SAS - ASSOINCO SAS</v>
      </c>
    </row>
    <row r="524" spans="1:1" ht="12.75" x14ac:dyDescent="0.2">
      <c r="A524" s="2" t="str">
        <f ca="1">IFERROR(__xludf.DUMMYFUNCTION("""COMPUTED_VALUE"""),"ASISTTEC LTDA")</f>
        <v>ASISTTEC LTDA</v>
      </c>
    </row>
    <row r="525" spans="1:1" ht="25.5" x14ac:dyDescent="0.2">
      <c r="A525" s="2" t="str">
        <f ca="1">IFERROR(__xludf.DUMMYFUNCTION("""COMPUTED_VALUE"""),"ASOCIACIÓN COLOMBIANA DE CONTACT CENTERS Y BPO BUSINESS PROCESS OUTSOURCING")</f>
        <v>ASOCIACIÓN COLOMBIANA DE CONTACT CENTERS Y BPO BUSINESS PROCESS OUTSOURCING</v>
      </c>
    </row>
    <row r="526" spans="1:1" ht="12.75" x14ac:dyDescent="0.2">
      <c r="A526" s="2" t="str">
        <f ca="1">IFERROR(__xludf.DUMMYFUNCTION("""COMPUTED_VALUE"""),"ASOCOLFLORES")</f>
        <v>ASOCOLFLORES</v>
      </c>
    </row>
    <row r="527" spans="1:1" ht="12.75" x14ac:dyDescent="0.2">
      <c r="A527" s="2" t="str">
        <f ca="1">IFERROR(__xludf.DUMMYFUNCTION("""COMPUTED_VALUE"""),"ASSIST CONSULTORES DE SISTEMAS S A")</f>
        <v>ASSIST CONSULTORES DE SISTEMAS S A</v>
      </c>
    </row>
    <row r="528" spans="1:1" ht="12.75" x14ac:dyDescent="0.2">
      <c r="A528" s="2" t="str">
        <f ca="1">IFERROR(__xludf.DUMMYFUNCTION("""COMPUTED_VALUE"""),"ASSURANCE CONTROL TECH S.A.S")</f>
        <v>ASSURANCE CONTROL TECH S.A.S</v>
      </c>
    </row>
    <row r="529" spans="1:1" ht="12.75" x14ac:dyDescent="0.2">
      <c r="A529" s="2" t="str">
        <f ca="1">IFERROR(__xludf.DUMMYFUNCTION("""COMPUTED_VALUE"""),"AVIA CORREDORES DE SEGUROS S A")</f>
        <v>AVIA CORREDORES DE SEGUROS S A</v>
      </c>
    </row>
    <row r="530" spans="1:1" ht="51" x14ac:dyDescent="0.2">
      <c r="A530" s="2" t="str">
        <f ca="1">IFERROR(__xludf.DUMMYFUNCTION("""COMPUTED_VALUE"""),"AX2 GOURMET S A S
DONDOHE4K SAS
KOE4K S.A.S
OSAKA COCINA NIKKEI S.A.S")</f>
        <v>AX2 GOURMET S A S
DONDOHE4K SAS
KOE4K S.A.S
OSAKA COCINA NIKKEI S.A.S</v>
      </c>
    </row>
    <row r="531" spans="1:1" ht="12.75" x14ac:dyDescent="0.2">
      <c r="A531" s="2" t="str">
        <f ca="1">IFERROR(__xludf.DUMMYFUNCTION("""COMPUTED_VALUE"""),"AXA COLPATRIA SEGUROS DE VIDA SA")</f>
        <v>AXA COLPATRIA SEGUROS DE VIDA SA</v>
      </c>
    </row>
    <row r="532" spans="1:1" ht="12.75" x14ac:dyDescent="0.2">
      <c r="A532" s="2" t="str">
        <f ca="1">IFERROR(__xludf.DUMMYFUNCTION("""COMPUTED_VALUE"""),"AXA COLPATRIA SEGUROS DE VIDA SA")</f>
        <v>AXA COLPATRIA SEGUROS DE VIDA SA</v>
      </c>
    </row>
    <row r="533" spans="1:1" ht="12.75" x14ac:dyDescent="0.2">
      <c r="A533" s="2" t="str">
        <f ca="1">IFERROR(__xludf.DUMMYFUNCTION("""COMPUTED_VALUE"""),"AXA COLPATRIA SEGUROS DE VIDA SA")</f>
        <v>AXA COLPATRIA SEGUROS DE VIDA SA</v>
      </c>
    </row>
    <row r="534" spans="1:1" ht="12.75" x14ac:dyDescent="0.2">
      <c r="A534" s="2" t="str">
        <f ca="1">IFERROR(__xludf.DUMMYFUNCTION("""COMPUTED_VALUE"""),"BACO FOODS COLOMBIA SAS")</f>
        <v>BACO FOODS COLOMBIA SAS</v>
      </c>
    </row>
    <row r="535" spans="1:1" ht="12.75" x14ac:dyDescent="0.2">
      <c r="A535" s="2" t="str">
        <f ca="1">IFERROR(__xludf.DUMMYFUNCTION("""COMPUTED_VALUE"""),"BAENA MORA Y CIA LTDA")</f>
        <v>BAENA MORA Y CIA LTDA</v>
      </c>
    </row>
    <row r="536" spans="1:1" ht="12.75" x14ac:dyDescent="0.2">
      <c r="A536" s="2" t="str">
        <f ca="1">IFERROR(__xludf.DUMMYFUNCTION("""COMPUTED_VALUE"""),"BANCO AGRARIO DE COLOMBIA SA")</f>
        <v>BANCO AGRARIO DE COLOMBIA SA</v>
      </c>
    </row>
    <row r="537" spans="1:1" ht="12.75" x14ac:dyDescent="0.2">
      <c r="A537" s="2" t="str">
        <f ca="1">IFERROR(__xludf.DUMMYFUNCTION("""COMPUTED_VALUE"""),"BANCO DE Bogotá")</f>
        <v>BANCO DE Bogotá</v>
      </c>
    </row>
    <row r="538" spans="1:1" ht="25.5" x14ac:dyDescent="0.2">
      <c r="A538" s="2" t="str">
        <f ca="1">IFERROR(__xludf.DUMMYFUNCTION("""COMPUTED_VALUE"""),"BANCO DE COMERCIO EXTERIOR DE COLOMBIA SA- BANCOLDEX")</f>
        <v>BANCO DE COMERCIO EXTERIOR DE COLOMBIA SA- BANCOLDEX</v>
      </c>
    </row>
    <row r="539" spans="1:1" ht="12.75" x14ac:dyDescent="0.2">
      <c r="A539" s="2" t="str">
        <f ca="1">IFERROR(__xludf.DUMMYFUNCTION("""COMPUTED_VALUE"""),"Administrador Junior")</f>
        <v>Administrador Junior</v>
      </c>
    </row>
    <row r="540" spans="1:1" ht="12.75" x14ac:dyDescent="0.2">
      <c r="A540" s="2" t="str">
        <f ca="1">IFERROR(__xludf.DUMMYFUNCTION("""COMPUTED_VALUE"""),"BASF QUÍMICA COLOMBIANA S.A")</f>
        <v>BASF QUÍMICA COLOMBIANA S.A</v>
      </c>
    </row>
    <row r="541" spans="1:1" ht="12.75" x14ac:dyDescent="0.2">
      <c r="A541" s="2" t="str">
        <f ca="1">IFERROR(__xludf.DUMMYFUNCTION("""COMPUTED_VALUE"""),"BAVARIA &amp; CIA SCA")</f>
        <v>BAVARIA &amp; CIA SCA</v>
      </c>
    </row>
    <row r="542" spans="1:1" ht="12.75" x14ac:dyDescent="0.2">
      <c r="A542" s="2" t="str">
        <f ca="1">IFERROR(__xludf.DUMMYFUNCTION("""COMPUTED_VALUE"""),"BCS INGENIERIA Y PROYECTOS SAS")</f>
        <v>BCS INGENIERIA Y PROYECTOS SAS</v>
      </c>
    </row>
    <row r="543" spans="1:1" ht="25.5" x14ac:dyDescent="0.2">
      <c r="A543" s="2" t="str">
        <f ca="1">IFERROR(__xludf.DUMMYFUNCTION("""COMPUTED_VALUE"""),"BERNARDO CONTRERAS Y COMPAÑIA LIMITADA Y /O BERCONT")</f>
        <v>BERNARDO CONTRERAS Y COMPAÑIA LIMITADA Y /O BERCONT</v>
      </c>
    </row>
    <row r="544" spans="1:1" ht="12.75" x14ac:dyDescent="0.2">
      <c r="A544" s="2" t="str">
        <f ca="1">IFERROR(__xludf.DUMMYFUNCTION("""COMPUTED_VALUE"""),"BIMBO DE COLOMBIA S.A")</f>
        <v>BIMBO DE COLOMBIA S.A</v>
      </c>
    </row>
    <row r="545" spans="1:1" ht="12.75" x14ac:dyDescent="0.2">
      <c r="A545" s="2" t="str">
        <f ca="1">IFERROR(__xludf.DUMMYFUNCTION("""COMPUTED_VALUE"""),"BIO-ESTERIL S.A.S")</f>
        <v>BIO-ESTERIL S.A.S</v>
      </c>
    </row>
    <row r="546" spans="1:1" ht="12.75" x14ac:dyDescent="0.2">
      <c r="A546" s="2" t="str">
        <f ca="1">IFERROR(__xludf.DUMMYFUNCTION("""COMPUTED_VALUE"""),"BIODISTRIBUCIONES TERRA SAS")</f>
        <v>BIODISTRIBUCIONES TERRA SAS</v>
      </c>
    </row>
    <row r="547" spans="1:1" ht="12.75" x14ac:dyDescent="0.2">
      <c r="A547" s="2" t="str">
        <f ca="1">IFERROR(__xludf.DUMMYFUNCTION("""COMPUTED_VALUE"""),"BIOPLAST S.A.S")</f>
        <v>BIOPLAST S.A.S</v>
      </c>
    </row>
    <row r="548" spans="1:1" ht="12.75" x14ac:dyDescent="0.2">
      <c r="A548" s="2" t="str">
        <f ca="1">IFERROR(__xludf.DUMMYFUNCTION("""COMPUTED_VALUE"""),"BIOPLAST S.A.S")</f>
        <v>BIOPLAST S.A.S</v>
      </c>
    </row>
    <row r="549" spans="1:1" ht="12.75" x14ac:dyDescent="0.2">
      <c r="A549" s="2" t="str">
        <f ca="1">IFERROR(__xludf.DUMMYFUNCTION("""COMPUTED_VALUE"""),"BIOPLAST S.A.S")</f>
        <v>BIOPLAST S.A.S</v>
      </c>
    </row>
    <row r="550" spans="1:1" ht="12.75" x14ac:dyDescent="0.2">
      <c r="A550" s="2" t="str">
        <f ca="1">IFERROR(__xludf.DUMMYFUNCTION("""COMPUTED_VALUE"""),"BIOPLAST S.A.S")</f>
        <v>BIOPLAST S.A.S</v>
      </c>
    </row>
    <row r="551" spans="1:1" ht="12.75" x14ac:dyDescent="0.2">
      <c r="A551" s="2" t="str">
        <f ca="1">IFERROR(__xludf.DUMMYFUNCTION("""COMPUTED_VALUE"""),"BIOPLAST S.A.S")</f>
        <v>BIOPLAST S.A.S</v>
      </c>
    </row>
    <row r="552" spans="1:1" ht="12.75" x14ac:dyDescent="0.2">
      <c r="A552" s="2" t="str">
        <f ca="1">IFERROR(__xludf.DUMMYFUNCTION("""COMPUTED_VALUE"""),"BIOPLAST S.A.S")</f>
        <v>BIOPLAST S.A.S</v>
      </c>
    </row>
    <row r="553" spans="1:1" ht="12.75" x14ac:dyDescent="0.2">
      <c r="A553" s="2" t="str">
        <f ca="1">IFERROR(__xludf.DUMMYFUNCTION("""COMPUTED_VALUE"""),"BIOSISTEMAS INGENIERIA MEDICA SAS")</f>
        <v>BIOSISTEMAS INGENIERIA MEDICA SAS</v>
      </c>
    </row>
    <row r="554" spans="1:1" ht="12.75" x14ac:dyDescent="0.2">
      <c r="A554" s="2" t="str">
        <f ca="1">IFERROR(__xludf.DUMMYFUNCTION("""COMPUTED_VALUE"""),"BISCOTTINO SAS")</f>
        <v>BISCOTTINO SAS</v>
      </c>
    </row>
    <row r="555" spans="1:1" ht="12.75" x14ac:dyDescent="0.2">
      <c r="A555" s="2" t="str">
        <f ca="1">IFERROR(__xludf.DUMMYFUNCTION("""COMPUTED_VALUE"""),"BogotáLIMPIA SAS ESP")</f>
        <v>BogotáLIMPIA SAS ESP</v>
      </c>
    </row>
    <row r="556" spans="1:1" ht="12.75" x14ac:dyDescent="0.2">
      <c r="A556" s="2" t="str">
        <f ca="1">IFERROR(__xludf.DUMMYFUNCTION("""COMPUTED_VALUE"""),"BOSKALIS INTERNATIONAL SUCURSAL COLOMBIA")</f>
        <v>BOSKALIS INTERNATIONAL SUCURSAL COLOMBIA</v>
      </c>
    </row>
    <row r="557" spans="1:1" ht="12.75" x14ac:dyDescent="0.2">
      <c r="A557" s="2" t="str">
        <f ca="1">IFERROR(__xludf.DUMMYFUNCTION("""COMPUTED_VALUE"""),"BPM CONSULTING LTDA")</f>
        <v>BPM CONSULTING LTDA</v>
      </c>
    </row>
    <row r="558" spans="1:1" ht="12.75" x14ac:dyDescent="0.2">
      <c r="A558" s="2" t="str">
        <f ca="1">IFERROR(__xludf.DUMMYFUNCTION("""COMPUTED_VALUE"""),"BRAND SOLUTIONS SAS")</f>
        <v>BRAND SOLUTIONS SAS</v>
      </c>
    </row>
    <row r="559" spans="1:1" ht="12.75" x14ac:dyDescent="0.2">
      <c r="A559" s="2" t="str">
        <f ca="1">IFERROR(__xludf.DUMMYFUNCTION("""COMPUTED_VALUE"""),"BRAYCO SAS")</f>
        <v>BRAYCO SAS</v>
      </c>
    </row>
    <row r="560" spans="1:1" ht="12.75" x14ac:dyDescent="0.2">
      <c r="A560" s="2" t="str">
        <f ca="1">IFERROR(__xludf.DUMMYFUNCTION("""COMPUTED_VALUE"""),"BRILLADORA EL DIAMANTE SA")</f>
        <v>BRILLADORA EL DIAMANTE SA</v>
      </c>
    </row>
    <row r="561" spans="1:1" ht="12.75" x14ac:dyDescent="0.2">
      <c r="A561" s="2" t="str">
        <f ca="1">IFERROR(__xludf.DUMMYFUNCTION("""COMPUTED_VALUE"""),"MORPHO TRAVEL COLOMBIA SAS")</f>
        <v>MORPHO TRAVEL COLOMBIA SAS</v>
      </c>
    </row>
    <row r="562" spans="1:1" ht="12.75" x14ac:dyDescent="0.2">
      <c r="A562" s="2" t="str">
        <f ca="1">IFERROR(__xludf.DUMMYFUNCTION("""COMPUTED_VALUE"""),"BRITT SAS")</f>
        <v>BRITT SAS</v>
      </c>
    </row>
    <row r="563" spans="1:1" ht="12.75" x14ac:dyDescent="0.2">
      <c r="A563" s="2" t="str">
        <f ca="1">IFERROR(__xludf.DUMMYFUNCTION("""COMPUTED_VALUE"""),"BRM SA")</f>
        <v>BRM SA</v>
      </c>
    </row>
    <row r="564" spans="1:1" ht="12.75" x14ac:dyDescent="0.2">
      <c r="A564" s="2" t="str">
        <f ca="1">IFERROR(__xludf.DUMMYFUNCTION("""COMPUTED_VALUE"""),"BYB PRO ENERGY SAS")</f>
        <v>BYB PRO ENERGY SAS</v>
      </c>
    </row>
    <row r="565" spans="1:1" ht="12.75" x14ac:dyDescent="0.2">
      <c r="A565" s="2" t="str">
        <f ca="1">IFERROR(__xludf.DUMMYFUNCTION("""COMPUTED_VALUE"""),"ByC INGENIERÍA Y SERVICIOS")</f>
        <v>ByC INGENIERÍA Y SERVICIOS</v>
      </c>
    </row>
    <row r="566" spans="1:1" ht="12.75" x14ac:dyDescent="0.2">
      <c r="A566" s="2" t="str">
        <f ca="1">IFERROR(__xludf.DUMMYFUNCTION("""COMPUTED_VALUE"""),"C&amp;C SERVICES SAS")</f>
        <v>C&amp;C SERVICES SAS</v>
      </c>
    </row>
    <row r="567" spans="1:1" ht="12.75" x14ac:dyDescent="0.2">
      <c r="A567" s="2" t="str">
        <f ca="1">IFERROR(__xludf.DUMMYFUNCTION("""COMPUTED_VALUE"""),"CADENA S.A")</f>
        <v>CADENA S.A</v>
      </c>
    </row>
    <row r="568" spans="1:1" ht="12.75" x14ac:dyDescent="0.2">
      <c r="A568" s="2" t="str">
        <f ca="1">IFERROR(__xludf.DUMMYFUNCTION("""COMPUTED_VALUE"""),"CAFYRO CONSTRUCCIONES Y DISEÑOS Y SAS")</f>
        <v>CAFYRO CONSTRUCCIONES Y DISEÑOS Y SAS</v>
      </c>
    </row>
    <row r="569" spans="1:1" ht="12.75" x14ac:dyDescent="0.2">
      <c r="A569" s="2" t="str">
        <f ca="1">IFERROR(__xludf.DUMMYFUNCTION("""COMPUTED_VALUE"""),"CAJA DE COMPENSACION FAMILIAR COMPENSAR")</f>
        <v>CAJA DE COMPENSACION FAMILIAR COMPENSAR</v>
      </c>
    </row>
    <row r="570" spans="1:1" ht="12.75" x14ac:dyDescent="0.2">
      <c r="A570" s="2" t="str">
        <f ca="1">IFERROR(__xludf.DUMMYFUNCTION("""COMPUTED_VALUE"""),"CAJA DE RETIRO DE FUERZAS MILITARES")</f>
        <v>CAJA DE RETIRO DE FUERZAS MILITARES</v>
      </c>
    </row>
    <row r="571" spans="1:1" ht="25.5" x14ac:dyDescent="0.2">
      <c r="A571" s="2" t="str">
        <f ca="1">IFERROR(__xludf.DUMMYFUNCTION("""COMPUTED_VALUE"""),"CAJA DE SUELDOS DE RETIRO DE LA POLICIA NACIONAL")</f>
        <v>CAJA DE SUELDOS DE RETIRO DE LA POLICIA NACIONAL</v>
      </c>
    </row>
    <row r="572" spans="1:1" ht="12.75" x14ac:dyDescent="0.2">
      <c r="A572" s="2" t="str">
        <f ca="1">IFERROR(__xludf.DUMMYFUNCTION("""COMPUTED_VALUE"""),"CÁMARA DE COMERCIO BOGOTÁ")</f>
        <v>CÁMARA DE COMERCIO BOGOTÁ</v>
      </c>
    </row>
    <row r="573" spans="1:1" ht="12.75" x14ac:dyDescent="0.2">
      <c r="A573" s="2" t="str">
        <f ca="1">IFERROR(__xludf.DUMMYFUNCTION("""COMPUTED_VALUE"""),"CARS TURISMO SAS")</f>
        <v>CARS TURISMO SAS</v>
      </c>
    </row>
    <row r="574" spans="1:1" ht="12.75" x14ac:dyDescent="0.2">
      <c r="A574" s="2" t="str">
        <f ca="1">IFERROR(__xludf.DUMMYFUNCTION("""COMPUTED_VALUE"""),"CASALIMPIA SA")</f>
        <v>CASALIMPIA SA</v>
      </c>
    </row>
    <row r="575" spans="1:1" ht="12.75" x14ac:dyDescent="0.2">
      <c r="A575" s="2" t="str">
        <f ca="1">IFERROR(__xludf.DUMMYFUNCTION("""COMPUTED_VALUE"""),"CASATORO SA O CASATORO SA BIC")</f>
        <v>CASATORO SA O CASATORO SA BIC</v>
      </c>
    </row>
    <row r="576" spans="1:1" ht="12.75" x14ac:dyDescent="0.2">
      <c r="A576" s="2" t="str">
        <f ca="1">IFERROR(__xludf.DUMMYFUNCTION("""COMPUTED_VALUE"""),"CEMEX COLOMBIA S.A")</f>
        <v>CEMEX COLOMBIA S.A</v>
      </c>
    </row>
    <row r="577" spans="1:1" ht="76.5" x14ac:dyDescent="0.2">
      <c r="A577" s="2" t="str">
        <f ca="1">IFERROR(__xludf.DUMMYFUNCTION("""COMPUTED_VALUE"""),"CEMEX COLOMBIA S.A
CEMEX ADMINISTRACIONES LTDA
CEMEX TRANSPORTES DE COLOMBIA S.A.
CEMEX SOLUCIONES S.A.S
CEMEX PREMEZCLADOS DE COLOMBIA S.A
CEMEX ENERGY S.A.S.")</f>
        <v>CEMEX COLOMBIA S.A
CEMEX ADMINISTRACIONES LTDA
CEMEX TRANSPORTES DE COLOMBIA S.A.
CEMEX SOLUCIONES S.A.S
CEMEX PREMEZCLADOS DE COLOMBIA S.A
CEMEX ENERGY S.A.S.</v>
      </c>
    </row>
    <row r="578" spans="1:1" ht="12.75" x14ac:dyDescent="0.2">
      <c r="A578" s="2" t="str">
        <f ca="1">IFERROR(__xludf.DUMMYFUNCTION("""COMPUTED_VALUE"""),"CENCOSUD COLOMBIA SA")</f>
        <v>CENCOSUD COLOMBIA SA</v>
      </c>
    </row>
    <row r="579" spans="1:1" ht="12.75" x14ac:dyDescent="0.2">
      <c r="A579" s="2" t="str">
        <f ca="1">IFERROR(__xludf.DUMMYFUNCTION("""COMPUTED_VALUE"""),"CENCOSUD COLOMBIA SA - JUMBO CC SANTA ANA")</f>
        <v>CENCOSUD COLOMBIA SA - JUMBO CC SANTA ANA</v>
      </c>
    </row>
    <row r="580" spans="1:1" ht="12.75" x14ac:dyDescent="0.2">
      <c r="A580" s="2" t="str">
        <f ca="1">IFERROR(__xludf.DUMMYFUNCTION("""COMPUTED_VALUE"""),"CENCOSUD COLOMBIA SA - JUMBO BULEVAR NIZA")</f>
        <v>CENCOSUD COLOMBIA SA - JUMBO BULEVAR NIZA</v>
      </c>
    </row>
    <row r="581" spans="1:1" ht="12.75" x14ac:dyDescent="0.2">
      <c r="A581" s="2" t="str">
        <f ca="1">IFERROR(__xludf.DUMMYFUNCTION("""COMPUTED_VALUE"""),"CENCOSUD COLOMBIA SA - JUMBO C.C MERCURIO")</f>
        <v>CENCOSUD COLOMBIA SA - JUMBO C.C MERCURIO</v>
      </c>
    </row>
    <row r="582" spans="1:1" ht="12.75" x14ac:dyDescent="0.2">
      <c r="A582" s="2" t="str">
        <f ca="1">IFERROR(__xludf.DUMMYFUNCTION("""COMPUTED_VALUE"""),"CENCOSUD COLOMBIA SA - JUMBO CALLE 170")</f>
        <v>CENCOSUD COLOMBIA SA - JUMBO CALLE 170</v>
      </c>
    </row>
    <row r="583" spans="1:1" ht="12.75" x14ac:dyDescent="0.2">
      <c r="A583" s="2" t="str">
        <f ca="1">IFERROR(__xludf.DUMMYFUNCTION("""COMPUTED_VALUE"""),"CENCOSUD COLOMBIA SA - JUMBO CALLE 80")</f>
        <v>CENCOSUD COLOMBIA SA - JUMBO CALLE 80</v>
      </c>
    </row>
    <row r="584" spans="1:1" ht="12.75" x14ac:dyDescent="0.2">
      <c r="A584" s="2" t="str">
        <f ca="1">IFERROR(__xludf.DUMMYFUNCTION("""COMPUTED_VALUE"""),"CENCOSUD COLOMBIA SA - JUMBO CARRERA 30")</f>
        <v>CENCOSUD COLOMBIA SA - JUMBO CARRERA 30</v>
      </c>
    </row>
    <row r="585" spans="1:1" ht="12.75" x14ac:dyDescent="0.2">
      <c r="A585" s="2" t="str">
        <f ca="1">IFERROR(__xludf.DUMMYFUNCTION("""COMPUTED_VALUE"""),"CENCOSUD COLOMBIA SA - JUMBO HAYUELOS")</f>
        <v>CENCOSUD COLOMBIA SA - JUMBO HAYUELOS</v>
      </c>
    </row>
    <row r="586" spans="1:1" ht="12.75" x14ac:dyDescent="0.2">
      <c r="A586" s="2" t="str">
        <f ca="1">IFERROR(__xludf.DUMMYFUNCTION("""COMPUTED_VALUE"""),"CENCOSUD COLOMBIA SA - JUMBO HAYUELOS")</f>
        <v>CENCOSUD COLOMBIA SA - JUMBO HAYUELOS</v>
      </c>
    </row>
    <row r="587" spans="1:1" ht="12.75" x14ac:dyDescent="0.2">
      <c r="A587" s="2" t="str">
        <f ca="1">IFERROR(__xludf.DUMMYFUNCTION("""COMPUTED_VALUE"""),"CENCOSUD COLOMBIA SA - JUMBO SUBA")</f>
        <v>CENCOSUD COLOMBIA SA - JUMBO SUBA</v>
      </c>
    </row>
    <row r="588" spans="1:1" ht="12.75" x14ac:dyDescent="0.2">
      <c r="A588" s="2" t="str">
        <f ca="1">IFERROR(__xludf.DUMMYFUNCTION("""COMPUTED_VALUE"""),"CENCOSUD COLOMBIA SA - METRO AUTOPISTA SUR")</f>
        <v>CENCOSUD COLOMBIA SA - METRO AUTOPISTA SUR</v>
      </c>
    </row>
    <row r="589" spans="1:1" ht="12.75" x14ac:dyDescent="0.2">
      <c r="A589" s="2" t="str">
        <f ca="1">IFERROR(__xludf.DUMMYFUNCTION("""COMPUTED_VALUE"""),"CENCOSUD COLOMBIA SA - METRO BOSA")</f>
        <v>CENCOSUD COLOMBIA SA - METRO BOSA</v>
      </c>
    </row>
    <row r="590" spans="1:1" ht="12.75" x14ac:dyDescent="0.2">
      <c r="A590" s="2" t="str">
        <f ca="1">IFERROR(__xludf.DUMMYFUNCTION("""COMPUTED_VALUE"""),"CENCOSUD COLOMBIA SA - METRO Facatativá")</f>
        <v>CENCOSUD COLOMBIA SA - METRO Facatativá</v>
      </c>
    </row>
    <row r="591" spans="1:1" ht="12.75" x14ac:dyDescent="0.2">
      <c r="A591" s="2" t="str">
        <f ca="1">IFERROR(__xludf.DUMMYFUNCTION("""COMPUTED_VALUE"""),"CENCOSUD COLOMBIA SA - METRO MOSQUERA")</f>
        <v>CENCOSUD COLOMBIA SA - METRO MOSQUERA</v>
      </c>
    </row>
    <row r="592" spans="1:1" ht="12.75" x14ac:dyDescent="0.2">
      <c r="A592" s="2" t="str">
        <f ca="1">IFERROR(__xludf.DUMMYFUNCTION("""COMPUTED_VALUE"""),"CENCOSUD COLOMBIA SA - JUMBO 20 DE JULIO")</f>
        <v>CENCOSUD COLOMBIA SA - JUMBO 20 DE JULIO</v>
      </c>
    </row>
    <row r="593" spans="1:1" ht="12.75" x14ac:dyDescent="0.2">
      <c r="A593" s="2" t="str">
        <f ca="1">IFERROR(__xludf.DUMMYFUNCTION("""COMPUTED_VALUE"""),"CENTRO CHÍA")</f>
        <v>CENTRO CHÍA</v>
      </c>
    </row>
    <row r="594" spans="1:1" ht="12.75" x14ac:dyDescent="0.2">
      <c r="A594" s="2" t="str">
        <f ca="1">IFERROR(__xludf.DUMMYFUNCTION("""COMPUTED_VALUE"""),"CENTRO DE LAVADO Y ASEO - CLA")</f>
        <v>CENTRO DE LAVADO Y ASEO - CLA</v>
      </c>
    </row>
    <row r="595" spans="1:1" ht="12.75" x14ac:dyDescent="0.2">
      <c r="A595" s="2" t="str">
        <f ca="1">IFERROR(__xludf.DUMMYFUNCTION("""COMPUTED_VALUE"""),"CF QBCO SAS")</f>
        <v>CF QBCO SAS</v>
      </c>
    </row>
    <row r="596" spans="1:1" ht="12.75" x14ac:dyDescent="0.2">
      <c r="A596" s="2" t="str">
        <f ca="1">IFERROR(__xludf.DUMMYFUNCTION("""COMPUTED_VALUE"""),"CLINICA DEL COUNTRY")</f>
        <v>CLINICA DEL COUNTRY</v>
      </c>
    </row>
    <row r="597" spans="1:1" ht="12.75" x14ac:dyDescent="0.2">
      <c r="A597" s="2" t="str">
        <f ca="1">IFERROR(__xludf.DUMMYFUNCTION("""COMPUTED_VALUE"""),"CM &amp; M ASESORES DE SEGURO LIMITADA")</f>
        <v>CM &amp; M ASESORES DE SEGURO LIMITADA</v>
      </c>
    </row>
    <row r="598" spans="1:1" ht="12.75" x14ac:dyDescent="0.2">
      <c r="A598" s="2" t="str">
        <f ca="1">IFERROR(__xludf.DUMMYFUNCTION("""COMPUTED_VALUE"""),"CMS DESARROLLOS SAS")</f>
        <v>CMS DESARROLLOS SAS</v>
      </c>
    </row>
    <row r="599" spans="1:1" ht="25.5" x14ac:dyDescent="0.2">
      <c r="A599" s="2" t="str">
        <f ca="1">IFERROR(__xludf.DUMMYFUNCTION("""COMPUTED_VALUE"""),"COBA - CONSULTORES DE INGENIERIA Y MEDIO AMBIENTE S.A / SUCURSAL COLOMBIA")</f>
        <v>COBA - CONSULTORES DE INGENIERIA Y MEDIO AMBIENTE S.A / SUCURSAL COLOMBIA</v>
      </c>
    </row>
    <row r="600" spans="1:1" ht="12.75" x14ac:dyDescent="0.2">
      <c r="A600" s="2" t="str">
        <f ca="1">IFERROR(__xludf.DUMMYFUNCTION("""COMPUTED_VALUE"""),"CÓDIGO PROYECTOS SAS")</f>
        <v>CÓDIGO PROYECTOS SAS</v>
      </c>
    </row>
    <row r="601" spans="1:1" ht="12.75" x14ac:dyDescent="0.2">
      <c r="A601" s="2" t="str">
        <f ca="1">IFERROR(__xludf.DUMMYFUNCTION("""COMPUTED_VALUE"""),"CODIPRO INGENIERIA LTDA")</f>
        <v>CODIPRO INGENIERIA LTDA</v>
      </c>
    </row>
    <row r="602" spans="1:1" ht="12.75" x14ac:dyDescent="0.2">
      <c r="A602" s="2" t="str">
        <f ca="1">IFERROR(__xludf.DUMMYFUNCTION("""COMPUTED_VALUE"""),"COLDEGRAP SAS")</f>
        <v>COLDEGRAP SAS</v>
      </c>
    </row>
    <row r="603" spans="1:1" ht="12.75" x14ac:dyDescent="0.2">
      <c r="A603" s="2" t="str">
        <f ca="1">IFERROR(__xludf.DUMMYFUNCTION("""COMPUTED_VALUE"""),"COLMEDICA MEDICINA PREPAGADA SA")</f>
        <v>COLMEDICA MEDICINA PREPAGADA SA</v>
      </c>
    </row>
    <row r="604" spans="1:1" ht="12.75" x14ac:dyDescent="0.2">
      <c r="A604" s="2" t="str">
        <f ca="1">IFERROR(__xludf.DUMMYFUNCTION("""COMPUTED_VALUE"""),"COLOMA LTDA")</f>
        <v>COLOMA LTDA</v>
      </c>
    </row>
    <row r="605" spans="1:1" ht="12.75" x14ac:dyDescent="0.2">
      <c r="A605" s="2" t="str">
        <f ca="1">IFERROR(__xludf.DUMMYFUNCTION("""COMPUTED_VALUE"""),"COLOMBIA LEDS SAS")</f>
        <v>COLOMBIA LEDS SAS</v>
      </c>
    </row>
    <row r="606" spans="1:1" ht="12.75" x14ac:dyDescent="0.2">
      <c r="A606" s="2" t="str">
        <f ca="1">IFERROR(__xludf.DUMMYFUNCTION("""COMPUTED_VALUE"""),"COLREPFIN LTDA")</f>
        <v>COLREPFIN LTDA</v>
      </c>
    </row>
    <row r="607" spans="1:1" ht="12.75" x14ac:dyDescent="0.2">
      <c r="A607" s="2" t="str">
        <f ca="1">IFERROR(__xludf.DUMMYFUNCTION("""COMPUTED_VALUE"""),"COLREPFIN LTDS")</f>
        <v>COLREPFIN LTDS</v>
      </c>
    </row>
    <row r="608" spans="1:1" ht="12.75" x14ac:dyDescent="0.2">
      <c r="A608" s="2" t="str">
        <f ca="1">IFERROR(__xludf.DUMMYFUNCTION("""COMPUTED_VALUE"""),"COLSOF SAS")</f>
        <v>COLSOF SAS</v>
      </c>
    </row>
    <row r="609" spans="1:1" ht="12.75" x14ac:dyDescent="0.2">
      <c r="A609" s="2" t="str">
        <f ca="1">IFERROR(__xludf.DUMMYFUNCTION("""COMPUTED_VALUE"""),"COLSOF SAS")</f>
        <v>COLSOF SAS</v>
      </c>
    </row>
    <row r="610" spans="1:1" ht="12.75" x14ac:dyDescent="0.2">
      <c r="A610" s="2" t="str">
        <f ca="1">IFERROR(__xludf.DUMMYFUNCTION("""COMPUTED_VALUE"""),"COLVANES SAS")</f>
        <v>COLVANES SAS</v>
      </c>
    </row>
    <row r="611" spans="1:1" ht="12.75" x14ac:dyDescent="0.2">
      <c r="A611" s="2" t="str">
        <f ca="1">IFERROR(__xludf.DUMMYFUNCTION("""COMPUTED_VALUE"""),"COLVISEG LTDA")</f>
        <v>COLVISEG LTDA</v>
      </c>
    </row>
    <row r="612" spans="1:1" ht="12.75" x14ac:dyDescent="0.2">
      <c r="A612" s="2" t="str">
        <f ca="1">IFERROR(__xludf.DUMMYFUNCTION("""COMPUTED_VALUE"""),"COMERCIAL NUTRESA S . A .S")</f>
        <v>COMERCIAL NUTRESA S . A .S</v>
      </c>
    </row>
    <row r="613" spans="1:1" ht="12.75" x14ac:dyDescent="0.2">
      <c r="A613" s="2" t="str">
        <f ca="1">IFERROR(__xludf.DUMMYFUNCTION("""COMPUTED_VALUE"""),"COMERCIALIZADORA AL GRANO SAS")</f>
        <v>COMERCIALIZADORA AL GRANO SAS</v>
      </c>
    </row>
    <row r="614" spans="1:1" ht="25.5" x14ac:dyDescent="0.2">
      <c r="A614" s="2" t="str">
        <f ca="1">IFERROR(__xludf.DUMMYFUNCTION("""COMPUTED_VALUE"""),"COMERCIALIZADORA E INTERNACIONAL IDEA INNOVA SAS")</f>
        <v>COMERCIALIZADORA E INTERNACIONAL IDEA INNOVA SAS</v>
      </c>
    </row>
    <row r="615" spans="1:1" ht="25.5" x14ac:dyDescent="0.2">
      <c r="A615" s="2" t="str">
        <f ca="1">IFERROR(__xludf.DUMMYFUNCTION("""COMPUTED_VALUE"""),"COMISIÓN DE REGULACIÓN DE AGUA POTABLE Y SANEAMIENTO BÁSICO")</f>
        <v>COMISIÓN DE REGULACIÓN DE AGUA POTABLE Y SANEAMIENTO BÁSICO</v>
      </c>
    </row>
    <row r="616" spans="1:1" ht="12.75" x14ac:dyDescent="0.2">
      <c r="A616" s="2" t="str">
        <f ca="1">IFERROR(__xludf.DUMMYFUNCTION("""COMPUTED_VALUE"""),"COMISIÓN DE REGULACIÓN DE COMÚNICACIONES")</f>
        <v>COMISIÓN DE REGULACIÓN DE COMÚNICACIONES</v>
      </c>
    </row>
    <row r="617" spans="1:1" ht="25.5" x14ac:dyDescent="0.2">
      <c r="A617" s="2" t="str">
        <f ca="1">IFERROR(__xludf.DUMMYFUNCTION("""COMPUTED_VALUE"""),"COMISIÓN DE REGULACIÓN DE ENERGÍA Y GAS CREG")</f>
        <v>COMISIÓN DE REGULACIÓN DE ENERGÍA Y GAS CREG</v>
      </c>
    </row>
    <row r="618" spans="1:1" ht="12.75" x14ac:dyDescent="0.2">
      <c r="A618" s="2" t="str">
        <f ca="1">IFERROR(__xludf.DUMMYFUNCTION("""COMPUTED_VALUE"""),"COMISIÓN NACIONAL DEL SERVICIO CIVIL")</f>
        <v>COMISIÓN NACIONAL DEL SERVICIO CIVIL</v>
      </c>
    </row>
    <row r="619" spans="1:1" ht="12.75" x14ac:dyDescent="0.2">
      <c r="A619" s="2" t="str">
        <f ca="1">IFERROR(__xludf.DUMMYFUNCTION("""COMPUTED_VALUE"""),"COMPAÑÍA DE INGENIEROS CONSICAL")</f>
        <v>COMPAÑÍA DE INGENIEROS CONSICAL</v>
      </c>
    </row>
    <row r="620" spans="1:1" ht="25.5" x14ac:dyDescent="0.2">
      <c r="A620" s="2" t="str">
        <f ca="1">IFERROR(__xludf.DUMMYFUNCTION("""COMPUTED_VALUE"""),"COMPAÑIA DE INGENIEROS CONSULTORES Y CONSTRUCTORES S.A.S. - SIGLA CICCO SAS")</f>
        <v>COMPAÑIA DE INGENIEROS CONSULTORES Y CONSTRUCTORES S.A.S. - SIGLA CICCO SAS</v>
      </c>
    </row>
    <row r="621" spans="1:1" ht="25.5" x14ac:dyDescent="0.2">
      <c r="A621" s="2" t="str">
        <f ca="1">IFERROR(__xludf.DUMMYFUNCTION("""COMPUTED_VALUE"""),"COMPAÑIA DE PROYECTOS AMBIENTALES E INGENIERIA CPA")</f>
        <v>COMPAÑIA DE PROYECTOS AMBIENTALES E INGENIERIA CPA</v>
      </c>
    </row>
    <row r="622" spans="1:1" ht="12.75" x14ac:dyDescent="0.2">
      <c r="A622" s="2" t="str">
        <f ca="1">IFERROR(__xludf.DUMMYFUNCTION("""COMPUTED_VALUE"""),"COMPAÑIA DE SERVICIOS COMERCIALES SAS")</f>
        <v>COMPAÑIA DE SERVICIOS COMERCIALES SAS</v>
      </c>
    </row>
    <row r="623" spans="1:1" ht="12.75" x14ac:dyDescent="0.2">
      <c r="A623" s="2" t="str">
        <f ca="1">IFERROR(__xludf.DUMMYFUNCTION("""COMPUTED_VALUE"""),"COMPAÑIA DE SERVICIOS COMERCIALES SAS")</f>
        <v>COMPAÑIA DE SERVICIOS COMERCIALES SAS</v>
      </c>
    </row>
    <row r="624" spans="1:1" ht="12.75" x14ac:dyDescent="0.2">
      <c r="A624" s="2" t="str">
        <f ca="1">IFERROR(__xludf.DUMMYFUNCTION("""COMPUTED_VALUE"""),"COMÚnicaCIONES CELULAR S.A. COMCEL S.A.")</f>
        <v>COMÚnicaCIONES CELULAR S.A. COMCEL S.A.</v>
      </c>
    </row>
    <row r="625" spans="1:1" ht="12.75" x14ac:dyDescent="0.2">
      <c r="A625" s="2" t="str">
        <f ca="1">IFERROR(__xludf.DUMMYFUNCTION("""COMPUTED_VALUE"""),"CONCENTRIX SERVICES COLOMBIA SAS")</f>
        <v>CONCENTRIX SERVICES COLOMBIA SAS</v>
      </c>
    </row>
    <row r="626" spans="1:1" ht="12.75" x14ac:dyDescent="0.2">
      <c r="A626" s="2" t="str">
        <f ca="1">IFERROR(__xludf.DUMMYFUNCTION("""COMPUTED_VALUE"""),"CONCESIÓN RUNT SA")</f>
        <v>CONCESIÓN RUNT SA</v>
      </c>
    </row>
    <row r="627" spans="1:1" ht="38.25" x14ac:dyDescent="0.2">
      <c r="A627" s="2" t="str">
        <f ca="1">IFERROR(__xludf.DUMMYFUNCTION("""COMPUTED_VALUE"""),"CONCESIONARIA FÉRREA DE OCCIDENTE SAS /
CHINA CIVIL ENGINEERING CONSTRUCTION CORPORATION SUCURSAL COLOMBIA")</f>
        <v>CONCESIONARIA FÉRREA DE OCCIDENTE SAS /
CHINA CIVIL ENGINEERING CONSTRUCTION CORPORATION SUCURSAL COLOMBIA</v>
      </c>
    </row>
    <row r="628" spans="1:1" ht="12.75" x14ac:dyDescent="0.2">
      <c r="A628" s="2" t="str">
        <f ca="1">IFERROR(__xludf.DUMMYFUNCTION("""COMPUTED_VALUE"""),"CONCREARMADO LTDA")</f>
        <v>CONCREARMADO LTDA</v>
      </c>
    </row>
    <row r="629" spans="1:1" ht="12.75" x14ac:dyDescent="0.2">
      <c r="A629" s="2" t="str">
        <f ca="1">IFERROR(__xludf.DUMMYFUNCTION("""COMPUTED_VALUE"""),"CONFIPETROL SAS")</f>
        <v>CONFIPETROL SAS</v>
      </c>
    </row>
    <row r="630" spans="1:1" ht="25.5" x14ac:dyDescent="0.2">
      <c r="A630" s="2" t="str">
        <f ca="1">IFERROR(__xludf.DUMMYFUNCTION("""COMPUTED_VALUE"""),"CONSEJO PROFESIONAL DE INGENIERIA QUIMICA DE COLOMBIA")</f>
        <v>CONSEJO PROFESIONAL DE INGENIERIA QUIMICA DE COLOMBIA</v>
      </c>
    </row>
    <row r="631" spans="1:1" ht="12.75" x14ac:dyDescent="0.2">
      <c r="A631" s="2" t="str">
        <f ca="1">IFERROR(__xludf.DUMMYFUNCTION("""COMPUTED_VALUE"""),"CONSER INGENIERIA SAS")</f>
        <v>CONSER INGENIERIA SAS</v>
      </c>
    </row>
    <row r="632" spans="1:1" ht="12.75" x14ac:dyDescent="0.2">
      <c r="A632" s="2" t="str">
        <f ca="1">IFERROR(__xludf.DUMMYFUNCTION("""COMPUTED_VALUE"""),"CONSORCIO CIRCULEMOS DIGITAL")</f>
        <v>CONSORCIO CIRCULEMOS DIGITAL</v>
      </c>
    </row>
    <row r="633" spans="1:1" ht="12.75" x14ac:dyDescent="0.2">
      <c r="A633" s="2" t="str">
        <f ca="1">IFERROR(__xludf.DUMMYFUNCTION("""COMPUTED_VALUE"""),"COMISION DE REGULACION DE COMÚNICACIONES")</f>
        <v>COMISION DE REGULACION DE COMÚNICACIONES</v>
      </c>
    </row>
    <row r="634" spans="1:1" ht="38.25" x14ac:dyDescent="0.2">
      <c r="A634" s="2" t="str">
        <f ca="1">IFERROR(__xludf.DUMMYFUNCTION("""COMPUTED_VALUE"""),"CONSORCIO SMDT 911
PRODUCCIÓN DE EVENTOS
SINTONIZAR MEDIOS S.A. S.")</f>
        <v>CONSORCIO SMDT 911
PRODUCCIÓN DE EVENTOS
SINTONIZAR MEDIOS S.A. S.</v>
      </c>
    </row>
    <row r="635" spans="1:1" ht="12.75" x14ac:dyDescent="0.2">
      <c r="A635" s="2" t="str">
        <f ca="1">IFERROR(__xludf.DUMMYFUNCTION("""COMPUTED_VALUE"""),"CONSTRUCPIEDRA CIA LTDA")</f>
        <v>CONSTRUCPIEDRA CIA LTDA</v>
      </c>
    </row>
    <row r="636" spans="1:1" ht="12.75" x14ac:dyDescent="0.2">
      <c r="A636" s="2" t="str">
        <f ca="1">IFERROR(__xludf.DUMMYFUNCTION("""COMPUTED_VALUE"""),"CONSTRUCTORA GCG SAS")</f>
        <v>CONSTRUCTORA GCG SAS</v>
      </c>
    </row>
    <row r="637" spans="1:1" ht="12.75" x14ac:dyDescent="0.2">
      <c r="A637" s="2" t="str">
        <f ca="1">IFERROR(__xludf.DUMMYFUNCTION("""COMPUTED_VALUE"""),"CONSTRUCTORA GCG SAS")</f>
        <v>CONSTRUCTORA GCG SAS</v>
      </c>
    </row>
    <row r="638" spans="1:1" ht="12.75" x14ac:dyDescent="0.2">
      <c r="A638" s="2" t="str">
        <f ca="1">IFERROR(__xludf.DUMMYFUNCTION("""COMPUTED_VALUE"""),"CONSTRUCTORA OSSA LOPEZ")</f>
        <v>CONSTRUCTORA OSSA LOPEZ</v>
      </c>
    </row>
    <row r="639" spans="1:1" ht="12.75" x14ac:dyDescent="0.2">
      <c r="A639" s="2" t="str">
        <f ca="1">IFERROR(__xludf.DUMMYFUNCTION("""COMPUTED_VALUE"""),"CONSTRUCTORA OZUL S.A.")</f>
        <v>CONSTRUCTORA OZUL S.A.</v>
      </c>
    </row>
    <row r="640" spans="1:1" ht="12.75" x14ac:dyDescent="0.2">
      <c r="A640" s="2" t="str">
        <f ca="1">IFERROR(__xludf.DUMMYFUNCTION("""COMPUTED_VALUE"""),"CONSTRUCTORA PRIMAR")</f>
        <v>CONSTRUCTORA PRIMAR</v>
      </c>
    </row>
    <row r="641" spans="1:1" ht="12.75" x14ac:dyDescent="0.2">
      <c r="A641" s="2" t="str">
        <f ca="1">IFERROR(__xludf.DUMMYFUNCTION("""COMPUTED_VALUE"""),"CONSTRUCTORA Y CONSULTORA DA VINCI")</f>
        <v>CONSTRUCTORA Y CONSULTORA DA VINCI</v>
      </c>
    </row>
    <row r="642" spans="1:1" ht="51" x14ac:dyDescent="0.2">
      <c r="A642" s="2" t="str">
        <f ca="1">IFERROR(__xludf.DUMMYFUNCTION("""COMPUTED_VALUE"""),"CONSULTORA DE INGENIERIA Y EMPRESA SEDE COLOMBIA / 
GESTION INTEGRAL DEL SUELO S.L COLOMBIA / 
OMC AMEPRO COLOMBIA.")</f>
        <v>CONSULTORA DE INGENIERIA Y EMPRESA SEDE COLOMBIA / 
GESTION INTEGRAL DEL SUELO S.L COLOMBIA / 
OMC AMEPRO COLOMBIA.</v>
      </c>
    </row>
    <row r="643" spans="1:1" ht="12.75" x14ac:dyDescent="0.2">
      <c r="A643" s="2" t="str">
        <f ca="1">IFERROR(__xludf.DUMMYFUNCTION("""COMPUTED_VALUE"""),"CONCESIÓN RUNT SA")</f>
        <v>CONCESIÓN RUNT SA</v>
      </c>
    </row>
    <row r="644" spans="1:1" ht="12.75" x14ac:dyDescent="0.2">
      <c r="A644" s="2" t="str">
        <f ca="1">IFERROR(__xludf.DUMMYFUNCTION("""COMPUTED_VALUE"""),"CODIPRO INGENIERIA LTDA")</f>
        <v>CODIPRO INGENIERIA LTDA</v>
      </c>
    </row>
    <row r="645" spans="1:1" ht="12.75" x14ac:dyDescent="0.2">
      <c r="A645" s="2" t="str">
        <f ca="1">IFERROR(__xludf.DUMMYFUNCTION("""COMPUTED_VALUE"""),"CONSULTORES DE INGENIERIA UG21 SL COLOMBIA")</f>
        <v>CONSULTORES DE INGENIERIA UG21 SL COLOMBIA</v>
      </c>
    </row>
    <row r="646" spans="1:1" ht="12.75" x14ac:dyDescent="0.2">
      <c r="A646" s="2" t="str">
        <f ca="1">IFERROR(__xludf.DUMMYFUNCTION("""COMPUTED_VALUE"""),"CONSULTORES DESARROLLO Y AMBIENTE SAS")</f>
        <v>CONSULTORES DESARROLLO Y AMBIENTE SAS</v>
      </c>
    </row>
    <row r="647" spans="1:1" ht="12.75" x14ac:dyDescent="0.2">
      <c r="A647" s="2" t="str">
        <f ca="1">IFERROR(__xludf.DUMMYFUNCTION("""COMPUTED_VALUE"""),"CONSULTORÍA ESTRATÉGICA INTEGRAL S.A")</f>
        <v>CONSULTORÍA ESTRATÉGICA INTEGRAL S.A</v>
      </c>
    </row>
    <row r="648" spans="1:1" ht="12.75" x14ac:dyDescent="0.2">
      <c r="A648" s="2" t="str">
        <f ca="1">IFERROR(__xludf.DUMMYFUNCTION("""COMPUTED_VALUE"""),"CONTRAPUNTO GROUP S.A.S")</f>
        <v>CONTRAPUNTO GROUP S.A.S</v>
      </c>
    </row>
    <row r="649" spans="1:1" ht="25.5" x14ac:dyDescent="0.2">
      <c r="A649" s="2" t="str">
        <f ca="1">IFERROR(__xludf.DUMMYFUNCTION("""COMPUTED_VALUE"""),"COORDINADORA DE SERVICIOS DE PARQUE CEMENTERIO SAS")</f>
        <v>COORDINADORA DE SERVICIOS DE PARQUE CEMENTERIO SAS</v>
      </c>
    </row>
    <row r="650" spans="1:1" ht="12.75" x14ac:dyDescent="0.2">
      <c r="A650" s="2" t="str">
        <f ca="1">IFERROR(__xludf.DUMMYFUNCTION("""COMPUTED_VALUE"""),"CORPORACIÓN BIOPARQUE")</f>
        <v>CORPORACIÓN BIOPARQUE</v>
      </c>
    </row>
    <row r="651" spans="1:1" ht="38.25" x14ac:dyDescent="0.2">
      <c r="A651" s="2" t="str">
        <f ca="1">IFERROR(__xludf.DUMMYFUNCTION("""COMPUTED_VALUE"""),"CORPORACION PARA LA INVESTIGACION EL DESARROLLO SOSTENIBLE Y LA PROMOCION SOCIAL - CORPROGRESO")</f>
        <v>CORPORACION PARA LA INVESTIGACION EL DESARROLLO SOSTENIBLE Y LA PROMOCION SOCIAL - CORPROGRESO</v>
      </c>
    </row>
    <row r="652" spans="1:1" ht="25.5" x14ac:dyDescent="0.2">
      <c r="A652" s="2" t="str">
        <f ca="1">IFERROR(__xludf.DUMMYFUNCTION("""COMPUTED_VALUE"""),"CORPORACIÓN UNIFICADA NACIONAL DE EDUCACIÓN SUPERIOR - CUN")</f>
        <v>CORPORACIÓN UNIFICADA NACIONAL DE EDUCACIÓN SUPERIOR - CUN</v>
      </c>
    </row>
    <row r="653" spans="1:1" ht="12.75" x14ac:dyDescent="0.2">
      <c r="A653" s="2" t="str">
        <f ca="1">IFERROR(__xludf.DUMMYFUNCTION("""COMPUTED_VALUE"""),"CORPS SECURITY LTDA")</f>
        <v>CORPS SECURITY LTDA</v>
      </c>
    </row>
    <row r="654" spans="1:1" ht="12.75" x14ac:dyDescent="0.2">
      <c r="A654" s="2" t="str">
        <f ca="1">IFERROR(__xludf.DUMMYFUNCTION("""COMPUTED_VALUE"""),"CORRECOL S.A")</f>
        <v>CORRECOL S.A</v>
      </c>
    </row>
    <row r="655" spans="1:1" ht="12.75" x14ac:dyDescent="0.2">
      <c r="A655" s="2" t="str">
        <f ca="1">IFERROR(__xludf.DUMMYFUNCTION("""COMPUTED_VALUE"""),"COSERVICREA LTDA")</f>
        <v>COSERVICREA LTDA</v>
      </c>
    </row>
    <row r="656" spans="1:1" ht="12.75" x14ac:dyDescent="0.2">
      <c r="A656" s="2" t="str">
        <f ca="1">IFERROR(__xludf.DUMMYFUNCTION("""COMPUTED_VALUE"""),"Coupa Colombia SAS")</f>
        <v>Coupa Colombia SAS</v>
      </c>
    </row>
    <row r="657" spans="1:1" ht="25.5" x14ac:dyDescent="0.2">
      <c r="A657" s="2" t="str">
        <f ca="1">IFERROR(__xludf.DUMMYFUNCTION("""COMPUTED_VALUE"""),"COMPAÑIA DE SERVICIOS 
COMERCIALES S.A.S")</f>
        <v>COMPAÑIA DE SERVICIOS 
COMERCIALES S.A.S</v>
      </c>
    </row>
    <row r="658" spans="1:1" ht="12.75" x14ac:dyDescent="0.2">
      <c r="A658" s="2" t="str">
        <f ca="1">IFERROR(__xludf.DUMMYFUNCTION("""COMPUTED_VALUE"""),"CREPES &amp; WAFFLES")</f>
        <v>CREPES &amp; WAFFLES</v>
      </c>
    </row>
    <row r="659" spans="1:1" ht="12.75" x14ac:dyDescent="0.2">
      <c r="A659" s="2" t="str">
        <f ca="1">IFERROR(__xludf.DUMMYFUNCTION("""COMPUTED_VALUE"""),"CREPES &amp; WAFFLES")</f>
        <v>CREPES &amp; WAFFLES</v>
      </c>
    </row>
    <row r="660" spans="1:1" ht="12.75" x14ac:dyDescent="0.2">
      <c r="A660" s="2" t="str">
        <f ca="1">IFERROR(__xludf.DUMMYFUNCTION("""COMPUTED_VALUE"""),"CREPES &amp; WAFFLES")</f>
        <v>CREPES &amp; WAFFLES</v>
      </c>
    </row>
    <row r="661" spans="1:1" ht="12.75" x14ac:dyDescent="0.2">
      <c r="A661" s="2" t="str">
        <f ca="1">IFERROR(__xludf.DUMMYFUNCTION("""COMPUTED_VALUE"""),"CREPES &amp; WAFFLES")</f>
        <v>CREPES &amp; WAFFLES</v>
      </c>
    </row>
    <row r="662" spans="1:1" ht="12.75" x14ac:dyDescent="0.2">
      <c r="A662" s="2" t="str">
        <f ca="1">IFERROR(__xludf.DUMMYFUNCTION("""COMPUTED_VALUE"""),"CREPES &amp; WAFFLES")</f>
        <v>CREPES &amp; WAFFLES</v>
      </c>
    </row>
    <row r="663" spans="1:1" ht="12.75" x14ac:dyDescent="0.2">
      <c r="A663" s="2" t="str">
        <f ca="1">IFERROR(__xludf.DUMMYFUNCTION("""COMPUTED_VALUE"""),"CRIYA S.A.S.")</f>
        <v>CRIYA S.A.S.</v>
      </c>
    </row>
    <row r="664" spans="1:1" ht="12.75" x14ac:dyDescent="0.2">
      <c r="A664" s="2" t="str">
        <f ca="1">IFERROR(__xludf.DUMMYFUNCTION("""COMPUTED_VALUE"""),"CSH INFRAESTRUCTURA")</f>
        <v>CSH INFRAESTRUCTURA</v>
      </c>
    </row>
    <row r="665" spans="1:1" ht="12.75" x14ac:dyDescent="0.2">
      <c r="A665" s="2" t="str">
        <f ca="1">IFERROR(__xludf.DUMMYFUNCTION("""COMPUTED_VALUE"""),"CSS CONSTRUCTORES S.A")</f>
        <v>CSS CONSTRUCTORES S.A</v>
      </c>
    </row>
    <row r="666" spans="1:1" ht="12.75" x14ac:dyDescent="0.2">
      <c r="A666" s="2" t="str">
        <f ca="1">IFERROR(__xludf.DUMMYFUNCTION("""COMPUTED_VALUE"""),"CU CONECTORES SAS")</f>
        <v>CU CONECTORES SAS</v>
      </c>
    </row>
    <row r="667" spans="1:1" ht="12.75" x14ac:dyDescent="0.2">
      <c r="A667" s="2" t="str">
        <f ca="1">IFERROR(__xludf.DUMMYFUNCTION("""COMPUTED_VALUE"""),"CUIDAR LTDA")</f>
        <v>CUIDAR LTDA</v>
      </c>
    </row>
    <row r="668" spans="1:1" ht="12.75" x14ac:dyDescent="0.2">
      <c r="A668" s="2" t="str">
        <f ca="1">IFERROR(__xludf.DUMMYFUNCTION("""COMPUTED_VALUE"""),"CYMETRIA GROUP S.A.S.")</f>
        <v>CYMETRIA GROUP S.A.S.</v>
      </c>
    </row>
    <row r="669" spans="1:1" ht="12.75" x14ac:dyDescent="0.2">
      <c r="A669" s="2" t="str">
        <f ca="1">IFERROR(__xludf.DUMMYFUNCTION("""COMPUTED_VALUE"""),"DACARTEC")</f>
        <v>DACARTEC</v>
      </c>
    </row>
    <row r="670" spans="1:1" ht="12.75" x14ac:dyDescent="0.2">
      <c r="A670" s="2" t="str">
        <f ca="1">IFERROR(__xludf.DUMMYFUNCTION("""COMPUTED_VALUE"""),"DANIEL ORLANDO MEDINA BALAGUERA")</f>
        <v>DANIEL ORLANDO MEDINA BALAGUERA</v>
      </c>
    </row>
    <row r="671" spans="1:1" ht="12.75" x14ac:dyDescent="0.2">
      <c r="A671" s="2" t="str">
        <f ca="1">IFERROR(__xludf.DUMMYFUNCTION("""COMPUTED_VALUE"""),"DB SYSTEM SAS")</f>
        <v>DB SYSTEM SAS</v>
      </c>
    </row>
    <row r="672" spans="1:1" ht="12.75" x14ac:dyDescent="0.2">
      <c r="A672" s="2" t="str">
        <f ca="1">IFERROR(__xludf.DUMMYFUNCTION("""COMPUTED_VALUE"""),"DDB WORLDWIDE COLOMBIA S.A.S")</f>
        <v>DDB WORLDWIDE COLOMBIA S.A.S</v>
      </c>
    </row>
    <row r="673" spans="1:1" ht="12.75" x14ac:dyDescent="0.2">
      <c r="A673" s="2" t="str">
        <f ca="1">IFERROR(__xludf.DUMMYFUNCTION("""COMPUTED_VALUE"""),"DDB WORLDWIDE COLOMBIA S.A.S")</f>
        <v>DDB WORLDWIDE COLOMBIA S.A.S</v>
      </c>
    </row>
    <row r="674" spans="1:1" ht="12.75" x14ac:dyDescent="0.2">
      <c r="A674" s="2" t="str">
        <f ca="1">IFERROR(__xludf.DUMMYFUNCTION("""COMPUTED_VALUE"""),"DECATHLON COLOMBIA SAS")</f>
        <v>DECATHLON COLOMBIA SAS</v>
      </c>
    </row>
    <row r="675" spans="1:1" ht="12.75" x14ac:dyDescent="0.2">
      <c r="A675" s="2" t="str">
        <f ca="1">IFERROR(__xludf.DUMMYFUNCTION("""COMPUTED_VALUE"""),"DEKOGIFT SAS")</f>
        <v>DEKOGIFT SAS</v>
      </c>
    </row>
    <row r="676" spans="1:1" ht="12.75" x14ac:dyDescent="0.2">
      <c r="A676" s="2" t="str">
        <f ca="1">IFERROR(__xludf.DUMMYFUNCTION("""COMPUTED_VALUE"""),"DEPARTAMENTO NACIONAL DE PLANEACIÓN - DNP")</f>
        <v>DEPARTAMENTO NACIONAL DE PLANEACIÓN - DNP</v>
      </c>
    </row>
    <row r="677" spans="1:1" ht="12.75" x14ac:dyDescent="0.2">
      <c r="A677" s="2" t="str">
        <f ca="1">IFERROR(__xludf.DUMMYFUNCTION("""COMPUTED_VALUE"""),"DESECHABLES MÉDICOS SAS")</f>
        <v>DESECHABLES MÉDICOS SAS</v>
      </c>
    </row>
    <row r="678" spans="1:1" ht="12.75" x14ac:dyDescent="0.2">
      <c r="A678" s="2" t="str">
        <f ca="1">IFERROR(__xludf.DUMMYFUNCTION("""COMPUTED_VALUE"""),"DESIGN LOUNGE AK S.A.S - Sede Barrios Unidos")</f>
        <v>DESIGN LOUNGE AK S.A.S - Sede Barrios Unidos</v>
      </c>
    </row>
    <row r="679" spans="1:1" ht="12.75" x14ac:dyDescent="0.2">
      <c r="A679" s="2" t="str">
        <f ca="1">IFERROR(__xludf.DUMMYFUNCTION("""COMPUTED_VALUE"""),"DESIGN LOUNGE AK S.A.S - Sede Bosa")</f>
        <v>DESIGN LOUNGE AK S.A.S - Sede Bosa</v>
      </c>
    </row>
    <row r="680" spans="1:1" ht="12.75" x14ac:dyDescent="0.2">
      <c r="A680" s="2" t="str">
        <f ca="1">IFERROR(__xludf.DUMMYFUNCTION("""COMPUTED_VALUE"""),"DHL SUPPLY - FUNZA")</f>
        <v>DHL SUPPLY - FUNZA</v>
      </c>
    </row>
    <row r="681" spans="1:1" ht="12.75" x14ac:dyDescent="0.2">
      <c r="A681" s="2" t="str">
        <f ca="1">IFERROR(__xludf.DUMMYFUNCTION("""COMPUTED_VALUE"""),"DHL SUPPLY - SIBERIA")</f>
        <v>DHL SUPPLY - SIBERIA</v>
      </c>
    </row>
    <row r="682" spans="1:1" ht="12.75" x14ac:dyDescent="0.2">
      <c r="A682" s="2" t="str">
        <f ca="1">IFERROR(__xludf.DUMMYFUNCTION("""COMPUTED_VALUE"""),"DHL SUPPLY CHAIN")</f>
        <v>DHL SUPPLY CHAIN</v>
      </c>
    </row>
    <row r="683" spans="1:1" ht="12.75" x14ac:dyDescent="0.2">
      <c r="A683" s="2" t="str">
        <f ca="1">IFERROR(__xludf.DUMMYFUNCTION("""COMPUTED_VALUE"""),"DHL SUPPLY CHAIN-AMERICAS")</f>
        <v>DHL SUPPLY CHAIN-AMERICAS</v>
      </c>
    </row>
    <row r="684" spans="1:1" ht="12.75" x14ac:dyDescent="0.2">
      <c r="A684" s="2" t="str">
        <f ca="1">IFERROR(__xludf.DUMMYFUNCTION("""COMPUTED_VALUE"""),"DIDO SAS")</f>
        <v>DIDO SAS</v>
      </c>
    </row>
    <row r="685" spans="1:1" ht="12.75" x14ac:dyDescent="0.2">
      <c r="A685" s="2" t="str">
        <f ca="1">IFERROR(__xludf.DUMMYFUNCTION("""COMPUTED_VALUE"""),"DIRECCIÓN GENERAL MARÍTIMA")</f>
        <v>DIRECCIÓN GENERAL MARÍTIMA</v>
      </c>
    </row>
    <row r="686" spans="1:1" ht="12.75" x14ac:dyDescent="0.2">
      <c r="A686" s="2" t="str">
        <f ca="1">IFERROR(__xludf.DUMMYFUNCTION("""COMPUTED_VALUE"""),"DISPAPELES SAS")</f>
        <v>DISPAPELES SAS</v>
      </c>
    </row>
    <row r="687" spans="1:1" ht="12.75" x14ac:dyDescent="0.2">
      <c r="A687" s="2" t="str">
        <f ca="1">IFERROR(__xludf.DUMMYFUNCTION("""COMPUTED_VALUE"""),"DISTRIBUIDORA LOS COCHES LA SABANA SAS")</f>
        <v>DISTRIBUIDORA LOS COCHES LA SABANA SAS</v>
      </c>
    </row>
    <row r="688" spans="1:1" ht="12.75" x14ac:dyDescent="0.2">
      <c r="A688" s="2" t="str">
        <f ca="1">IFERROR(__xludf.DUMMYFUNCTION("""COMPUTED_VALUE"""),"COSEQUIN LTDA.")</f>
        <v>COSEQUIN LTDA.</v>
      </c>
    </row>
    <row r="689" spans="1:1" ht="12.75" x14ac:dyDescent="0.2">
      <c r="A689" s="2" t="str">
        <f ca="1">IFERROR(__xludf.DUMMYFUNCTION("""COMPUTED_VALUE"""),"DISTRIBUIDORA LOS COCHES LA SABANA SAS")</f>
        <v>DISTRIBUIDORA LOS COCHES LA SABANA SAS</v>
      </c>
    </row>
    <row r="690" spans="1:1" ht="12.75" x14ac:dyDescent="0.2">
      <c r="A690" s="2" t="str">
        <f ca="1">IFERROR(__xludf.DUMMYFUNCTION("""COMPUTED_VALUE"""),"DIVERSITY GROUP SAS")</f>
        <v>DIVERSITY GROUP SAS</v>
      </c>
    </row>
    <row r="691" spans="1:1" ht="12.75" x14ac:dyDescent="0.2">
      <c r="A691" s="2" t="str">
        <f ca="1">IFERROR(__xludf.DUMMYFUNCTION("""COMPUTED_VALUE"""),"DIVERSITY GROUP SAS")</f>
        <v>DIVERSITY GROUP SAS</v>
      </c>
    </row>
    <row r="692" spans="1:1" ht="12.75" x14ac:dyDescent="0.2">
      <c r="A692" s="2" t="str">
        <f ca="1">IFERROR(__xludf.DUMMYFUNCTION("""COMPUTED_VALUE"""),"DIVERSITY GROUP SAS")</f>
        <v>DIVERSITY GROUP SAS</v>
      </c>
    </row>
    <row r="693" spans="1:1" ht="12.75" x14ac:dyDescent="0.2">
      <c r="A693" s="2" t="str">
        <f ca="1">IFERROR(__xludf.DUMMYFUNCTION("""COMPUTED_VALUE"""),"DLK SAS")</f>
        <v>DLK SAS</v>
      </c>
    </row>
    <row r="694" spans="1:1" ht="12.75" x14ac:dyDescent="0.2">
      <c r="A694" s="2" t="str">
        <f ca="1">IFERROR(__xludf.DUMMYFUNCTION("""COMPUTED_VALUE"""),"DR. REDDY ' S LABORATORIES SAS")</f>
        <v>DR. REDDY ' S LABORATORIES SAS</v>
      </c>
    </row>
    <row r="695" spans="1:1" ht="12.75" x14ac:dyDescent="0.2">
      <c r="A695" s="2" t="str">
        <f ca="1">IFERROR(__xludf.DUMMYFUNCTION("""COMPUTED_VALUE"""),"DR. REDDY ' S LABORATORIES SAS")</f>
        <v>DR. REDDY ' S LABORATORIES SAS</v>
      </c>
    </row>
    <row r="696" spans="1:1" ht="12.75" x14ac:dyDescent="0.2">
      <c r="A696" s="2" t="str">
        <f ca="1">IFERROR(__xludf.DUMMYFUNCTION("""COMPUTED_VALUE"""),"Draga Ingenieria SAS")</f>
        <v>Draga Ingenieria SAS</v>
      </c>
    </row>
    <row r="697" spans="1:1" ht="12.75" x14ac:dyDescent="0.2">
      <c r="A697" s="2" t="str">
        <f ca="1">IFERROR(__xludf.DUMMYFUNCTION("""COMPUTED_VALUE"""),"DRD SISTEMAS E INGENIERIA SAS")</f>
        <v>DRD SISTEMAS E INGENIERIA SAS</v>
      </c>
    </row>
    <row r="698" spans="1:1" ht="12.75" x14ac:dyDescent="0.2">
      <c r="A698" s="2" t="str">
        <f ca="1">IFERROR(__xludf.DUMMYFUNCTION("""COMPUTED_VALUE"""),"DROGUERIA SAN PEDRO")</f>
        <v>DROGUERIA SAN PEDRO</v>
      </c>
    </row>
    <row r="699" spans="1:1" ht="12.75" x14ac:dyDescent="0.2">
      <c r="A699" s="2" t="str">
        <f ca="1">IFERROR(__xludf.DUMMYFUNCTION("""COMPUTED_VALUE"""),"DURMAN COLOMBIA S.A.S")</f>
        <v>DURMAN COLOMBIA S.A.S</v>
      </c>
    </row>
    <row r="700" spans="1:1" ht="12.75" x14ac:dyDescent="0.2">
      <c r="A700" s="2" t="str">
        <f ca="1">IFERROR(__xludf.DUMMYFUNCTION("""COMPUTED_VALUE"""),"ECOCIVIL S.A.S")</f>
        <v>ECOCIVIL S.A.S</v>
      </c>
    </row>
    <row r="701" spans="1:1" ht="12.75" x14ac:dyDescent="0.2">
      <c r="A701" s="2" t="str">
        <f ca="1">IFERROR(__xludf.DUMMYFUNCTION("""COMPUTED_VALUE"""),"ECOINTEGRAL LTDA")</f>
        <v>ECOINTEGRAL LTDA</v>
      </c>
    </row>
    <row r="702" spans="1:1" ht="12.75" x14ac:dyDescent="0.2">
      <c r="A702" s="2" t="str">
        <f ca="1">IFERROR(__xludf.DUMMYFUNCTION("""COMPUTED_VALUE"""),"EDUCACION FUTURO LTDA")</f>
        <v>EDUCACION FUTURO LTDA</v>
      </c>
    </row>
    <row r="703" spans="1:1" ht="12.75" x14ac:dyDescent="0.2">
      <c r="A703" s="2" t="str">
        <f ca="1">IFERROR(__xludf.DUMMYFUNCTION("""COMPUTED_VALUE"""),"EFECTIMEDIOS S.A")</f>
        <v>EFECTIMEDIOS S.A</v>
      </c>
    </row>
    <row r="704" spans="1:1" ht="12.75" x14ac:dyDescent="0.2">
      <c r="A704" s="2" t="str">
        <f ca="1">IFERROR(__xludf.DUMMYFUNCTION("""COMPUTED_VALUE"""),"EFICACIA S.A.")</f>
        <v>EFICACIA S.A.</v>
      </c>
    </row>
    <row r="705" spans="1:1" ht="12.75" x14ac:dyDescent="0.2">
      <c r="A705" s="2" t="str">
        <f ca="1">IFERROR(__xludf.DUMMYFUNCTION("""COMPUTED_VALUE"""),"EGC COLOMBIA SAS")</f>
        <v>EGC COLOMBIA SAS</v>
      </c>
    </row>
    <row r="706" spans="1:1" ht="12.75" x14ac:dyDescent="0.2">
      <c r="A706" s="2" t="str">
        <f ca="1">IFERROR(__xludf.DUMMYFUNCTION("""COMPUTED_VALUE"""),"ELECTROEQUIPOS COLOMBIA SAS")</f>
        <v>ELECTROEQUIPOS COLOMBIA SAS</v>
      </c>
    </row>
    <row r="707" spans="1:1" ht="12.75" x14ac:dyDescent="0.2">
      <c r="A707" s="2" t="str">
        <f ca="1">IFERROR(__xludf.DUMMYFUNCTION("""COMPUTED_VALUE"""),"ELIS COLOMBIA SAS")</f>
        <v>ELIS COLOMBIA SAS</v>
      </c>
    </row>
    <row r="708" spans="1:1" ht="12.75" x14ac:dyDescent="0.2">
      <c r="A708" s="2" t="str">
        <f ca="1">IFERROR(__xludf.DUMMYFUNCTION("""COMPUTED_VALUE"""),"EMTIRIA SAS")</f>
        <v>EMTIRIA SAS</v>
      </c>
    </row>
    <row r="709" spans="1:1" ht="12.75" x14ac:dyDescent="0.2">
      <c r="A709" s="2" t="str">
        <f ca="1">IFERROR(__xludf.DUMMYFUNCTION("""COMPUTED_VALUE"""),"ENEL COLOMBIA S.A E.S.P")</f>
        <v>ENEL COLOMBIA S.A E.S.P</v>
      </c>
    </row>
    <row r="710" spans="1:1" ht="12.75" x14ac:dyDescent="0.2">
      <c r="A710" s="2" t="str">
        <f ca="1">IFERROR(__xludf.DUMMYFUNCTION("""COMPUTED_VALUE"""),"ENEL COLOMBIA SA ESP")</f>
        <v>ENEL COLOMBIA SA ESP</v>
      </c>
    </row>
    <row r="711" spans="1:1" ht="12.75" x14ac:dyDescent="0.2">
      <c r="A711" s="2" t="str">
        <f ca="1">IFERROR(__xludf.DUMMYFUNCTION("""COMPUTED_VALUE"""),"ENLACES ESTRATÉGICOS")</f>
        <v>ENLACES ESTRATÉGICOS</v>
      </c>
    </row>
    <row r="712" spans="1:1" ht="12.75" x14ac:dyDescent="0.2">
      <c r="A712" s="2" t="str">
        <f ca="1">IFERROR(__xludf.DUMMYFUNCTION("""COMPUTED_VALUE"""),"ENMEDIO COMÚNICACION DIGITAL")</f>
        <v>ENMEDIO COMÚNICACION DIGITAL</v>
      </c>
    </row>
    <row r="713" spans="1:1" ht="25.5" x14ac:dyDescent="0.2">
      <c r="A713" s="2" t="str">
        <f ca="1">IFERROR(__xludf.DUMMYFUNCTION("""COMPUTED_VALUE"""),"ENTERRITORIO EMPRESA NACIONAL PROMOTORA DEL DESARROLLO TERRITORIAL")</f>
        <v>ENTERRITORIO EMPRESA NACIONAL PROMOTORA DEL DESARROLLO TERRITORIAL</v>
      </c>
    </row>
    <row r="714" spans="1:1" ht="25.5" x14ac:dyDescent="0.2">
      <c r="A714" s="2" t="str">
        <f ca="1">IFERROR(__xludf.DUMMYFUNCTION("""COMPUTED_VALUE"""),"EPROFRUVER - EMPRESA PRODUCTORA DE FRUTAS Y VERDURAS COLOMBIA LIMITADA")</f>
        <v>EPROFRUVER - EMPRESA PRODUCTORA DE FRUTAS Y VERDURAS COLOMBIA LIMITADA</v>
      </c>
    </row>
    <row r="715" spans="1:1" ht="12.75" x14ac:dyDescent="0.2">
      <c r="A715" s="2" t="str">
        <f ca="1">IFERROR(__xludf.DUMMYFUNCTION("""COMPUTED_VALUE"""),"ERJAR Y CIA SAS")</f>
        <v>ERJAR Y CIA SAS</v>
      </c>
    </row>
    <row r="716" spans="1:1" ht="12.75" x14ac:dyDescent="0.2">
      <c r="A716" s="2" t="str">
        <f ca="1">IFERROR(__xludf.DUMMYFUNCTION("""COMPUTED_VALUE"""),"ESCENARIOS Y ESTRUCTURAS DEPORTIVAS SAS")</f>
        <v>ESCENARIOS Y ESTRUCTURAS DEPORTIVAS SAS</v>
      </c>
    </row>
    <row r="717" spans="1:1" ht="12.75" x14ac:dyDescent="0.2">
      <c r="A717" s="2" t="str">
        <f ca="1">IFERROR(__xludf.DUMMYFUNCTION("""COMPUTED_VALUE"""),"ESOFT COLOMBIA SAS")</f>
        <v>ESOFT COLOMBIA SAS</v>
      </c>
    </row>
    <row r="718" spans="1:1" ht="25.5" x14ac:dyDescent="0.2">
      <c r="A718" s="2" t="str">
        <f ca="1">IFERROR(__xludf.DUMMYFUNCTION("""COMPUTED_VALUE"""),"ESPACIO OBJETIVO SAS / CARLOS RODOLFO DAZA RAMIREZ")</f>
        <v>ESPACIO OBJETIVO SAS / CARLOS RODOLFO DAZA RAMIREZ</v>
      </c>
    </row>
    <row r="719" spans="1:1" ht="12.75" x14ac:dyDescent="0.2">
      <c r="A719" s="2" t="str">
        <f ca="1">IFERROR(__xludf.DUMMYFUNCTION("""COMPUTED_VALUE"""),"ESPUMADOS SA")</f>
        <v>ESPUMADOS SA</v>
      </c>
    </row>
    <row r="720" spans="1:1" ht="12.75" x14ac:dyDescent="0.2">
      <c r="A720" s="2" t="str">
        <f ca="1">IFERROR(__xludf.DUMMYFUNCTION("""COMPUTED_VALUE"""),"ESTACIONAMIENTO LUGANO S.A.S.")</f>
        <v>ESTACIONAMIENTO LUGANO S.A.S.</v>
      </c>
    </row>
    <row r="721" spans="1:1" ht="12.75" x14ac:dyDescent="0.2">
      <c r="A721" s="2" t="str">
        <f ca="1">IFERROR(__xludf.DUMMYFUNCTION("""COMPUTED_VALUE"""),"ESTACIONAMIENTO LUGANO SAS")</f>
        <v>ESTACIONAMIENTO LUGANO SAS</v>
      </c>
    </row>
    <row r="722" spans="1:1" ht="12.75" x14ac:dyDescent="0.2">
      <c r="A722" s="2" t="str">
        <f ca="1">IFERROR(__xludf.DUMMYFUNCTION("""COMPUTED_VALUE"""),"EUONIA S.A.S")</f>
        <v>EUONIA S.A.S</v>
      </c>
    </row>
    <row r="723" spans="1:1" ht="12.75" x14ac:dyDescent="0.2">
      <c r="A723" s="2" t="str">
        <f ca="1">IFERROR(__xludf.DUMMYFUNCTION("""COMPUTED_VALUE"""),"EUROCONTROL SUCURSAL COLOMBIA")</f>
        <v>EUROCONTROL SUCURSAL COLOMBIA</v>
      </c>
    </row>
    <row r="724" spans="1:1" ht="12.75" x14ac:dyDescent="0.2">
      <c r="A724" s="2" t="str">
        <f ca="1">IFERROR(__xludf.DUMMYFUNCTION("""COMPUTED_VALUE"""),"EUROFARMA COLOMBIA")</f>
        <v>EUROFARMA COLOMBIA</v>
      </c>
    </row>
    <row r="725" spans="1:1" ht="12.75" x14ac:dyDescent="0.2">
      <c r="A725" s="2" t="str">
        <f ca="1">IFERROR(__xludf.DUMMYFUNCTION("""COMPUTED_VALUE"""),"EUROFARMA COLOMBIA")</f>
        <v>EUROFARMA COLOMBIA</v>
      </c>
    </row>
    <row r="726" spans="1:1" ht="12.75" x14ac:dyDescent="0.2">
      <c r="A726" s="2" t="str">
        <f ca="1">IFERROR(__xludf.DUMMYFUNCTION("""COMPUTED_VALUE"""),"EUROFARMA COLOMBIA")</f>
        <v>EUROFARMA COLOMBIA</v>
      </c>
    </row>
    <row r="727" spans="1:1" ht="12.75" x14ac:dyDescent="0.2">
      <c r="A727" s="2" t="str">
        <f ca="1">IFERROR(__xludf.DUMMYFUNCTION("""COMPUTED_VALUE"""),"EUROFARMA COLOMBIA")</f>
        <v>EUROFARMA COLOMBIA</v>
      </c>
    </row>
    <row r="728" spans="1:1" ht="12.75" x14ac:dyDescent="0.2">
      <c r="A728" s="2" t="str">
        <f ca="1">IFERROR(__xludf.DUMMYFUNCTION("""COMPUTED_VALUE"""),"EXPERT COLOMBIA")</f>
        <v>EXPERT COLOMBIA</v>
      </c>
    </row>
    <row r="729" spans="1:1" ht="12.75" x14ac:dyDescent="0.2">
      <c r="A729" s="2" t="str">
        <f ca="1">IFERROR(__xludf.DUMMYFUNCTION("""COMPUTED_VALUE"""),"ERJAR Y CIA S.A.S")</f>
        <v>ERJAR Y CIA S.A.S</v>
      </c>
    </row>
    <row r="730" spans="1:1" ht="25.5" x14ac:dyDescent="0.2">
      <c r="A730" s="2" t="str">
        <f ca="1">IFERROR(__xludf.DUMMYFUNCTION("""COMPUTED_VALUE"""),"EXPERTS COLOMBIA SAS
ONELIK INTERNACIONAL")</f>
        <v>EXPERTS COLOMBIA SAS
ONELIK INTERNACIONAL</v>
      </c>
    </row>
    <row r="731" spans="1:1" ht="12.75" x14ac:dyDescent="0.2">
      <c r="A731" s="2" t="str">
        <f ca="1">IFERROR(__xludf.DUMMYFUNCTION("""COMPUTED_VALUE"""),"FALABELLA DE COLOMBIA S.A.- TITAN PLAZA")</f>
        <v>FALABELLA DE COLOMBIA S.A.- TITAN PLAZA</v>
      </c>
    </row>
    <row r="732" spans="1:1" ht="12.75" x14ac:dyDescent="0.2">
      <c r="A732" s="2" t="str">
        <f ca="1">IFERROR(__xludf.DUMMYFUNCTION("""COMPUTED_VALUE"""),"FALABELLA DE COLOMBIA S.A.- PLAZA CENTRAL")</f>
        <v>FALABELLA DE COLOMBIA S.A.- PLAZA CENTRAL</v>
      </c>
    </row>
    <row r="733" spans="1:1" ht="12.75" x14ac:dyDescent="0.2">
      <c r="A733" s="2" t="str">
        <f ca="1">IFERROR(__xludf.DUMMYFUNCTION("""COMPUTED_VALUE"""),"FALABELLA DE COLOMBIA S.A.- CENTRO MAYOR")</f>
        <v>FALABELLA DE COLOMBIA S.A.- CENTRO MAYOR</v>
      </c>
    </row>
    <row r="734" spans="1:1" ht="12.75" x14ac:dyDescent="0.2">
      <c r="A734" s="2" t="str">
        <f ca="1">IFERROR(__xludf.DUMMYFUNCTION("""COMPUTED_VALUE"""),"FALABELLA DE COLOMBIA S.A.- CENTRO MAYOR")</f>
        <v>FALABELLA DE COLOMBIA S.A.- CENTRO MAYOR</v>
      </c>
    </row>
    <row r="735" spans="1:1" ht="12.75" x14ac:dyDescent="0.2">
      <c r="A735" s="2" t="str">
        <f ca="1">IFERROR(__xludf.DUMMYFUNCTION("""COMPUTED_VALUE"""),"FALABELLA DE COLOMBIA SA - DIVERPLAZA")</f>
        <v>FALABELLA DE COLOMBIA SA - DIVERPLAZA</v>
      </c>
    </row>
    <row r="736" spans="1:1" ht="12.75" x14ac:dyDescent="0.2">
      <c r="A736" s="2" t="str">
        <f ca="1">IFERROR(__xludf.DUMMYFUNCTION("""COMPUTED_VALUE"""),"FALABELLA DE COLOMBIA SA - DIVERPLAZA")</f>
        <v>FALABELLA DE COLOMBIA SA - DIVERPLAZA</v>
      </c>
    </row>
    <row r="737" spans="1:1" ht="12.75" x14ac:dyDescent="0.2">
      <c r="A737" s="2" t="str">
        <f ca="1">IFERROR(__xludf.DUMMYFUNCTION("""COMPUTED_VALUE"""),"FALABELLA DE COLOMBIA SA - FONTANAR")</f>
        <v>FALABELLA DE COLOMBIA SA - FONTANAR</v>
      </c>
    </row>
    <row r="738" spans="1:1" ht="12.75" x14ac:dyDescent="0.2">
      <c r="A738" s="2" t="str">
        <f ca="1">IFERROR(__xludf.DUMMYFUNCTION("""COMPUTED_VALUE"""),"FALABELLA DE COLOMBIA SA - MULTIPLAZA")</f>
        <v>FALABELLA DE COLOMBIA SA - MULTIPLAZA</v>
      </c>
    </row>
    <row r="739" spans="1:1" ht="12.75" x14ac:dyDescent="0.2">
      <c r="A739" s="2" t="str">
        <f ca="1">IFERROR(__xludf.DUMMYFUNCTION("""COMPUTED_VALUE"""),"FALABELLA DE COLOMBIA SA- HAYUELOS")</f>
        <v>FALABELLA DE COLOMBIA SA- HAYUELOS</v>
      </c>
    </row>
    <row r="740" spans="1:1" ht="12.75" x14ac:dyDescent="0.2">
      <c r="A740" s="2" t="str">
        <f ca="1">IFERROR(__xludf.DUMMYFUNCTION("""COMPUTED_VALUE"""),"FALABELLA DE COLOMBIA SA-UNICENTRO")</f>
        <v>FALABELLA DE COLOMBIA SA-UNICENTRO</v>
      </c>
    </row>
    <row r="741" spans="1:1" ht="12.75" x14ac:dyDescent="0.2">
      <c r="A741" s="2" t="str">
        <f ca="1">IFERROR(__xludf.DUMMYFUNCTION("""COMPUTED_VALUE"""),"FALABELLA DE COLOMBIA SA-UNICENTRO")</f>
        <v>FALABELLA DE COLOMBIA SA-UNICENTRO</v>
      </c>
    </row>
    <row r="742" spans="1:1" ht="12.75" x14ac:dyDescent="0.2">
      <c r="A742" s="2" t="str">
        <f ca="1">IFERROR(__xludf.DUMMYFUNCTION("""COMPUTED_VALUE"""),"FALABELLA DE COLOMBIA SA-UNICENTRO-SUBA")</f>
        <v>FALABELLA DE COLOMBIA SA-UNICENTRO-SUBA</v>
      </c>
    </row>
    <row r="743" spans="1:1" ht="12.75" x14ac:dyDescent="0.2">
      <c r="A743" s="9" t="str">
        <f ca="1">IFERROR(__xludf.DUMMYFUNCTION("""COMPUTED_VALUE"""),"FALABELLA.COM")</f>
        <v>FALABELLA.COM</v>
      </c>
    </row>
    <row r="744" spans="1:1" ht="12.75" x14ac:dyDescent="0.2">
      <c r="A744" s="2" t="str">
        <f ca="1">IFERROR(__xludf.DUMMYFUNCTION("""COMPUTED_VALUE"""),"FEDERACION HANDICAP INTERNATIONAL")</f>
        <v>FEDERACION HANDICAP INTERNATIONAL</v>
      </c>
    </row>
    <row r="745" spans="1:1" ht="12.75" x14ac:dyDescent="0.2">
      <c r="A745" s="2" t="str">
        <f ca="1">IFERROR(__xludf.DUMMYFUNCTION("""COMPUTED_VALUE"""),"FEDERACION NACIONAL DE CAFETEROS")</f>
        <v>FEDERACION NACIONAL DE CAFETEROS</v>
      </c>
    </row>
    <row r="746" spans="1:1" ht="12.75" x14ac:dyDescent="0.2">
      <c r="A746" s="2" t="str">
        <f ca="1">IFERROR(__xludf.DUMMYFUNCTION("""COMPUTED_VALUE"""),"FEME INGENIERÍA SAS")</f>
        <v>FEME INGENIERÍA SAS</v>
      </c>
    </row>
    <row r="747" spans="1:1" ht="12.75" x14ac:dyDescent="0.2">
      <c r="A747" s="2" t="str">
        <f ca="1">IFERROR(__xludf.DUMMYFUNCTION("""COMPUTED_VALUE"""),"FERNANDO RAMIREZ SAS")</f>
        <v>FERNANDO RAMIREZ SAS</v>
      </c>
    </row>
    <row r="748" spans="1:1" ht="12.75" x14ac:dyDescent="0.2">
      <c r="A748" s="2" t="str">
        <f ca="1">IFERROR(__xludf.DUMMYFUNCTION("""COMPUTED_VALUE"""),"FIDEICOMISO GH BogotáFIDUBogotá")</f>
        <v>FIDEICOMISO GH BogotáFIDUBogotá</v>
      </c>
    </row>
    <row r="749" spans="1:1" ht="12.75" x14ac:dyDescent="0.2">
      <c r="A749" s="2" t="str">
        <f ca="1">IFERROR(__xludf.DUMMYFUNCTION("""COMPUTED_VALUE"""),"FIDUCIARIA CORFICOLOMBIANA S.A.")</f>
        <v>FIDUCIARIA CORFICOLOMBIANA S.A.</v>
      </c>
    </row>
    <row r="750" spans="1:1" ht="12.75" x14ac:dyDescent="0.2">
      <c r="A750" s="2" t="str">
        <f ca="1">IFERROR(__xludf.DUMMYFUNCTION("""COMPUTED_VALUE"""),"FINANCIERA DE DESARROLLO NACIONAL")</f>
        <v>FINANCIERA DE DESARROLLO NACIONAL</v>
      </c>
    </row>
    <row r="751" spans="1:1" ht="25.5" x14ac:dyDescent="0.2">
      <c r="A751" s="2" t="str">
        <f ca="1">IFERROR(__xludf.DUMMYFUNCTION("""COMPUTED_VALUE"""),"FINANCIERA DE DESARROLLO TERRITORIAL S.A. FINDETER")</f>
        <v>FINANCIERA DE DESARROLLO TERRITORIAL S.A. FINDETER</v>
      </c>
    </row>
    <row r="752" spans="1:1" ht="25.5" x14ac:dyDescent="0.2">
      <c r="A752" s="2" t="str">
        <f ca="1">IFERROR(__xludf.DUMMYFUNCTION("""COMPUTED_VALUE"""),"FONDO DE GARANTIAS DE ENTIDADES COOPERATIVAS FOGACOO")</f>
        <v>FONDO DE GARANTIAS DE ENTIDADES COOPERATIVAS FOGACOO</v>
      </c>
    </row>
    <row r="753" spans="1:1" ht="25.5" x14ac:dyDescent="0.2">
      <c r="A753" s="2" t="str">
        <f ca="1">IFERROR(__xludf.DUMMYFUNCTION("""COMPUTED_VALUE"""),"FONDO DE GARANTIAS DE INSTITUCIONES FINANCIERAS")</f>
        <v>FONDO DE GARANTIAS DE INSTITUCIONES FINANCIERAS</v>
      </c>
    </row>
    <row r="754" spans="1:1" ht="12.75" x14ac:dyDescent="0.2">
      <c r="A754" s="2" t="str">
        <f ca="1">IFERROR(__xludf.DUMMYFUNCTION("""COMPUTED_VALUE"""),"FONDO NACIONAL DE AHORRO")</f>
        <v>FONDO NACIONAL DE AHORRO</v>
      </c>
    </row>
    <row r="755" spans="1:1" ht="12.75" x14ac:dyDescent="0.2">
      <c r="A755" s="2" t="str">
        <f ca="1">IFERROR(__xludf.DUMMYFUNCTION("""COMPUTED_VALUE"""),"FONDO NACIONAL DE AHORRO - FNA")</f>
        <v>FONDO NACIONAL DE AHORRO - FNA</v>
      </c>
    </row>
    <row r="756" spans="1:1" ht="12.75" x14ac:dyDescent="0.2">
      <c r="A756" s="2" t="str">
        <f ca="1">IFERROR(__xludf.DUMMYFUNCTION("""COMPUTED_VALUE"""),"FONDO NACIONAL DE AHORRO - FNA.")</f>
        <v>FONDO NACIONAL DE AHORRO - FNA.</v>
      </c>
    </row>
    <row r="757" spans="1:1" ht="25.5" x14ac:dyDescent="0.2">
      <c r="A757" s="2" t="str">
        <f ca="1">IFERROR(__xludf.DUMMYFUNCTION("""COMPUTED_VALUE"""),"EXPERT COLOMBIA SAS
GETCOM SERVICIOS S.A.S")</f>
        <v>EXPERT COLOMBIA SAS
GETCOM SERVICIOS S.A.S</v>
      </c>
    </row>
    <row r="758" spans="1:1" ht="12.75" x14ac:dyDescent="0.2">
      <c r="A758" s="2" t="str">
        <f ca="1">IFERROR(__xludf.DUMMYFUNCTION("""COMPUTED_VALUE"""),"FONDO NACIONAL DE AHORRO / FNA")</f>
        <v>FONDO NACIONAL DE AHORRO / FNA</v>
      </c>
    </row>
    <row r="759" spans="1:1" ht="12.75" x14ac:dyDescent="0.2">
      <c r="A759" s="2" t="str">
        <f ca="1">IFERROR(__xludf.DUMMYFUNCTION("""COMPUTED_VALUE"""),"FONDO NACIONAL DE AHORRO.")</f>
        <v>FONDO NACIONAL DE AHORRO.</v>
      </c>
    </row>
    <row r="760" spans="1:1" ht="12.75" x14ac:dyDescent="0.2">
      <c r="A760" s="2" t="str">
        <f ca="1">IFERROR(__xludf.DUMMYFUNCTION("""COMPUTED_VALUE"""),"FONDO NACIONAL DE GARANTIAS S.A.")</f>
        <v>FONDO NACIONAL DE GARANTIAS S.A.</v>
      </c>
    </row>
    <row r="761" spans="1:1" ht="12.75" x14ac:dyDescent="0.2">
      <c r="A761" s="2" t="str">
        <f ca="1">IFERROR(__xludf.DUMMYFUNCTION("""COMPUTED_VALUE"""),"FALABELLA DE COLOMBIA S.A.- GALERÍAS")</f>
        <v>FALABELLA DE COLOMBIA S.A.- GALERÍAS</v>
      </c>
    </row>
    <row r="762" spans="1:1" ht="12.75" x14ac:dyDescent="0.2">
      <c r="A762" s="2" t="str">
        <f ca="1">IFERROR(__xludf.DUMMYFUNCTION("""COMPUTED_VALUE"""),"FALABELLA DE COLOMBIA SA - COLINA")</f>
        <v>FALABELLA DE COLOMBIA SA - COLINA</v>
      </c>
    </row>
    <row r="763" spans="1:1" ht="12.75" x14ac:dyDescent="0.2">
      <c r="A763" s="2" t="str">
        <f ca="1">IFERROR(__xludf.DUMMYFUNCTION("""COMPUTED_VALUE"""),"FONDO NACIONAL DEL AHORRO (FNA)")</f>
        <v>FONDO NACIONAL DEL AHORRO (FNA)</v>
      </c>
    </row>
    <row r="764" spans="1:1" ht="25.5" x14ac:dyDescent="0.2">
      <c r="A764" s="2" t="str">
        <f ca="1">IFERROR(__xludf.DUMMYFUNCTION("""COMPUTED_VALUE"""),"FONDO PASIVO SOCIAL FERROCARRILES NACIONALES DE COLOMBIA")</f>
        <v>FONDO PASIVO SOCIAL FERROCARRILES NACIONALES DE COLOMBIA</v>
      </c>
    </row>
    <row r="765" spans="1:1" ht="12.75" x14ac:dyDescent="0.2">
      <c r="A765" s="2" t="str">
        <f ca="1">IFERROR(__xludf.DUMMYFUNCTION("""COMPUTED_VALUE"""),"FRESCONGELADOS PANETTIERE S.A")</f>
        <v>FRESCONGELADOS PANETTIERE S.A</v>
      </c>
    </row>
    <row r="766" spans="1:1" ht="12.75" x14ac:dyDescent="0.2">
      <c r="A766" s="2" t="str">
        <f ca="1">IFERROR(__xludf.DUMMYFUNCTION("""COMPUTED_VALUE"""),"Frescongelados Panettiere S.A.")</f>
        <v>Frescongelados Panettiere S.A.</v>
      </c>
    </row>
    <row r="767" spans="1:1" ht="12.75" x14ac:dyDescent="0.2">
      <c r="A767" s="2" t="str">
        <f ca="1">IFERROR(__xludf.DUMMYFUNCTION("""COMPUTED_VALUE"""),"FSQ GROUP SAS")</f>
        <v>FSQ GROUP SAS</v>
      </c>
    </row>
    <row r="768" spans="1:1" ht="12.75" x14ac:dyDescent="0.2">
      <c r="A768" s="2" t="str">
        <f ca="1">IFERROR(__xludf.DUMMYFUNCTION("""COMPUTED_VALUE"""),"FUMIGIR LTDA")</f>
        <v>FUMIGIR LTDA</v>
      </c>
    </row>
    <row r="769" spans="1:1" ht="25.5" x14ac:dyDescent="0.2">
      <c r="A769" s="2" t="str">
        <f ca="1">IFERROR(__xludf.DUMMYFUNCTION("""COMPUTED_VALUE"""),"FIDEICOMISO GH
BOGOTA FIDUBOGOTA")</f>
        <v>FIDEICOMISO GH
BOGOTA FIDUBOGOTA</v>
      </c>
    </row>
    <row r="770" spans="1:1" ht="12.75" x14ac:dyDescent="0.2">
      <c r="A770" s="2" t="str">
        <f ca="1">IFERROR(__xludf.DUMMYFUNCTION("""COMPUTED_VALUE"""),"FUNDACION ACCION CONTRA EL HAMBRE")</f>
        <v>FUNDACION ACCION CONTRA EL HAMBRE</v>
      </c>
    </row>
    <row r="771" spans="1:1" ht="12.75" x14ac:dyDescent="0.2">
      <c r="A771" s="2" t="str">
        <f ca="1">IFERROR(__xludf.DUMMYFUNCTION("""COMPUTED_VALUE"""),"FUNDACIÓN UNIVERSITARIA SAN MATEO")</f>
        <v>FUNDACIÓN UNIVERSITARIA SAN MATEO</v>
      </c>
    </row>
    <row r="772" spans="1:1" ht="25.5" x14ac:dyDescent="0.2">
      <c r="A772" s="2" t="str">
        <f ca="1">IFERROR(__xludf.DUMMYFUNCTION("""COMPUTED_VALUE"""),"G.M. FINANCIAL COLOMBIA S.A. COMPAÑIA DE FINANCIAMIENTO")</f>
        <v>G.M. FINANCIAL COLOMBIA S.A. COMPAÑIA DE FINANCIAMIENTO</v>
      </c>
    </row>
    <row r="773" spans="1:1" ht="25.5" x14ac:dyDescent="0.2">
      <c r="A773" s="2" t="str">
        <f ca="1">IFERROR(__xludf.DUMMYFUNCTION("""COMPUTED_VALUE"""),"GALLAGHER CONSULTING LTDA / ARTHUR J GALLAGHER CORREDORES DE SEGUROS SA")</f>
        <v>GALLAGHER CONSULTING LTDA / ARTHUR J GALLAGHER CORREDORES DE SEGUROS SA</v>
      </c>
    </row>
    <row r="774" spans="1:1" ht="38.25" x14ac:dyDescent="0.2">
      <c r="A774" s="2" t="str">
        <f ca="1">IFERROR(__xludf.DUMMYFUNCTION("""COMPUTED_VALUE"""),"GC&amp;INGENIEROS SAS
RJ&amp;P INGENIERIA SAS
R&amp;Q INGENIERIA COLOMBIA SA")</f>
        <v>GC&amp;INGENIEROS SAS
RJ&amp;P INGENIERIA SAS
R&amp;Q INGENIERIA COLOMBIA SA</v>
      </c>
    </row>
    <row r="775" spans="1:1" ht="12.75" x14ac:dyDescent="0.2">
      <c r="A775" s="2" t="str">
        <f ca="1">IFERROR(__xludf.DUMMYFUNCTION("""COMPUTED_VALUE"""),"GENFAR SA")</f>
        <v>GENFAR SA</v>
      </c>
    </row>
    <row r="776" spans="1:1" ht="25.5" x14ac:dyDescent="0.2">
      <c r="A776" s="2" t="str">
        <f ca="1">IFERROR(__xludf.DUMMYFUNCTION("""COMPUTED_VALUE"""),"GEOAMBIENTE SOCIEDAD POR ACCIONES SIMPLIFICADA")</f>
        <v>GEOAMBIENTE SOCIEDAD POR ACCIONES SIMPLIFICADA</v>
      </c>
    </row>
    <row r="777" spans="1:1" ht="12.75" x14ac:dyDescent="0.2">
      <c r="A777" s="2" t="str">
        <f ca="1">IFERROR(__xludf.DUMMYFUNCTION("""COMPUTED_VALUE"""),"GEOESTABILIZACIONES SOLHER")</f>
        <v>GEOESTABILIZACIONES SOLHER</v>
      </c>
    </row>
    <row r="778" spans="1:1" ht="12.75" x14ac:dyDescent="0.2">
      <c r="A778" s="2" t="str">
        <f ca="1">IFERROR(__xludf.DUMMYFUNCTION("""COMPUTED_VALUE"""),"GEOESTUDIOS INGENIERIA SAS")</f>
        <v>GEOESTUDIOS INGENIERIA SAS</v>
      </c>
    </row>
    <row r="779" spans="1:1" ht="12.75" x14ac:dyDescent="0.2">
      <c r="A779" s="2" t="str">
        <f ca="1">IFERROR(__xludf.DUMMYFUNCTION("""COMPUTED_VALUE"""),"FLORES EL ALJIBE SAS")</f>
        <v>FLORES EL ALJIBE SAS</v>
      </c>
    </row>
    <row r="780" spans="1:1" ht="12.75" x14ac:dyDescent="0.2">
      <c r="A780" s="2" t="str">
        <f ca="1">IFERROR(__xludf.DUMMYFUNCTION("""COMPUTED_VALUE"""),"GEOSOLUCIONES DE INGENIERIA SAS")</f>
        <v>GEOSOLUCIONES DE INGENIERIA SAS</v>
      </c>
    </row>
    <row r="781" spans="1:1" ht="12.75" x14ac:dyDescent="0.2">
      <c r="A781" s="2" t="str">
        <f ca="1">IFERROR(__xludf.DUMMYFUNCTION("""COMPUTED_VALUE"""),"GEOTECNIA ANDINA CONSSULTORES SAS")</f>
        <v>GEOTECNIA ANDINA CONSSULTORES SAS</v>
      </c>
    </row>
    <row r="782" spans="1:1" ht="25.5" x14ac:dyDescent="0.2">
      <c r="A782" s="2" t="str">
        <f ca="1">IFERROR(__xludf.DUMMYFUNCTION("""COMPUTED_VALUE"""),"GERENCIA E INGENIERÍA DE PROYECTOS SAS - GEINPRO SAS")</f>
        <v>GERENCIA E INGENIERÍA DE PROYECTOS SAS - GEINPRO SAS</v>
      </c>
    </row>
    <row r="783" spans="1:1" ht="12.75" x14ac:dyDescent="0.2">
      <c r="A783" s="2" t="str">
        <f ca="1">IFERROR(__xludf.DUMMYFUNCTION("""COMPUTED_VALUE"""),"GESTION DE SEGURIDAD ELECTRONICA SA")</f>
        <v>GESTION DE SEGURIDAD ELECTRONICA SA</v>
      </c>
    </row>
    <row r="784" spans="1:1" ht="25.5" x14ac:dyDescent="0.2">
      <c r="A784" s="2" t="str">
        <f ca="1">IFERROR(__xludf.DUMMYFUNCTION("""COMPUTED_VALUE"""),"GESTION DE SEGURIDAD ELECTRONICA SA / DIGITAL TRAINING COLOMBIA SAS / PAYNET SAS")</f>
        <v>GESTION DE SEGURIDAD ELECTRONICA SA / DIGITAL TRAINING COLOMBIA SAS / PAYNET SAS</v>
      </c>
    </row>
    <row r="785" spans="1:1" ht="12.75" x14ac:dyDescent="0.2">
      <c r="A785" s="2" t="str">
        <f ca="1">IFERROR(__xludf.DUMMYFUNCTION("""COMPUTED_VALUE"""),"GESTION INTEGRAL DEL SUELO S.L COLOMBIA")</f>
        <v>GESTION INTEGRAL DEL SUELO S.L COLOMBIA</v>
      </c>
    </row>
    <row r="786" spans="1:1" ht="12.75" x14ac:dyDescent="0.2">
      <c r="A786" s="2" t="str">
        <f ca="1">IFERROR(__xludf.DUMMYFUNCTION("""COMPUTED_VALUE"""),"GIJON SAS")</f>
        <v>GIJON SAS</v>
      </c>
    </row>
    <row r="787" spans="1:1" ht="12.75" x14ac:dyDescent="0.2">
      <c r="A787" s="2" t="str">
        <f ca="1">IFERROR(__xludf.DUMMYFUNCTION("""COMPUTED_VALUE"""),"GILAT COLOMBIA")</f>
        <v>GILAT COLOMBIA</v>
      </c>
    </row>
    <row r="788" spans="1:1" ht="12.75" x14ac:dyDescent="0.2">
      <c r="A788" s="2" t="str">
        <f ca="1">IFERROR(__xludf.DUMMYFUNCTION("""COMPUTED_VALUE"""),"GINPROSA INGENIERIA S L SUCURSAL COLOMBIA")</f>
        <v>GINPROSA INGENIERIA S L SUCURSAL COLOMBIA</v>
      </c>
    </row>
    <row r="789" spans="1:1" ht="12.75" x14ac:dyDescent="0.2">
      <c r="A789" s="2" t="str">
        <f ca="1">IFERROR(__xludf.DUMMYFUNCTION("""COMPUTED_VALUE"""),"GINPROSA COLOMBIA SAS")</f>
        <v>GINPROSA COLOMBIA SAS</v>
      </c>
    </row>
    <row r="790" spans="1:1" ht="12.75" x14ac:dyDescent="0.2">
      <c r="A790" s="2" t="str">
        <f ca="1">IFERROR(__xludf.DUMMYFUNCTION("""COMPUTED_VALUE"""),"GIVAUDAN COLOMBIA S .A.S")</f>
        <v>GIVAUDAN COLOMBIA S .A.S</v>
      </c>
    </row>
    <row r="791" spans="1:1" ht="12.75" x14ac:dyDescent="0.2">
      <c r="A791" s="2" t="str">
        <f ca="1">IFERROR(__xludf.DUMMYFUNCTION("""COMPUTED_VALUE"""),"GRAN TITÁN COLOMBIA SAS")</f>
        <v>GRAN TITÁN COLOMBIA SAS</v>
      </c>
    </row>
    <row r="792" spans="1:1" ht="12.75" x14ac:dyDescent="0.2">
      <c r="A792" s="2" t="str">
        <f ca="1">IFERROR(__xludf.DUMMYFUNCTION("""COMPUTED_VALUE"""),"GRANECCO SAS")</f>
        <v>GRANECCO SAS</v>
      </c>
    </row>
    <row r="793" spans="1:1" ht="12.75" x14ac:dyDescent="0.2">
      <c r="A793" s="2" t="str">
        <f ca="1">IFERROR(__xludf.DUMMYFUNCTION("""COMPUTED_VALUE"""),"GRUPO AVIATUR S.A.S")</f>
        <v>GRUPO AVIATUR S.A.S</v>
      </c>
    </row>
    <row r="794" spans="1:1" ht="12.75" x14ac:dyDescent="0.2">
      <c r="A794" s="2" t="str">
        <f ca="1">IFERROR(__xludf.DUMMYFUNCTION("""COMPUTED_VALUE"""),"GRUPO ENERGÍA BogotáS.A. Esp, (GEB S.A. Esp)")</f>
        <v>GRUPO ENERGÍA BogotáS.A. Esp, (GEB S.A. Esp)</v>
      </c>
    </row>
    <row r="795" spans="1:1" ht="12.75" x14ac:dyDescent="0.2">
      <c r="A795" s="2" t="str">
        <f ca="1">IFERROR(__xludf.DUMMYFUNCTION("""COMPUTED_VALUE"""),"GRUPO ERCA COMÚnicaCION INTEGRAL SAS")</f>
        <v>GRUPO ERCA COMÚnicaCION INTEGRAL SAS</v>
      </c>
    </row>
    <row r="796" spans="1:1" ht="12.75" x14ac:dyDescent="0.2">
      <c r="A796" s="2" t="str">
        <f ca="1">IFERROR(__xludf.DUMMYFUNCTION("""COMPUTED_VALUE"""),"GRUPO GESTIUM COLOMBIA SAS")</f>
        <v>GRUPO GESTIUM COLOMBIA SAS</v>
      </c>
    </row>
    <row r="797" spans="1:1" ht="63.75" x14ac:dyDescent="0.2">
      <c r="A797" s="2" t="str">
        <f ca="1">IFERROR(__xludf.DUMMYFUNCTION("""COMPUTED_VALUE"""),"GRUPO M 
GROUPM TRADING COLOMBIA SAS 
WAVEMAKER COLOMBIA SAS
ESSENCEMEDIACOM COLOMBIA SAS
WWP MEDIA MANAGEMENT COLOMBIA SAS")</f>
        <v>GRUPO M 
GROUPM TRADING COLOMBIA SAS 
WAVEMAKER COLOMBIA SAS
ESSENCEMEDIACOM COLOMBIA SAS
WWP MEDIA MANAGEMENT COLOMBIA SAS</v>
      </c>
    </row>
    <row r="798" spans="1:1" ht="12.75" x14ac:dyDescent="0.2">
      <c r="A798" s="2" t="str">
        <f ca="1">IFERROR(__xludf.DUMMYFUNCTION("""COMPUTED_VALUE"""),"GRUPO METRO COLOMBIA SAS")</f>
        <v>GRUPO METRO COLOMBIA SAS</v>
      </c>
    </row>
    <row r="799" spans="1:1" ht="12.75" x14ac:dyDescent="0.2">
      <c r="A799" s="2" t="str">
        <f ca="1">IFERROR(__xludf.DUMMYFUNCTION("""COMPUTED_VALUE"""),"Grupo Novus Ltda")</f>
        <v>Grupo Novus Ltda</v>
      </c>
    </row>
    <row r="800" spans="1:1" ht="12.75" x14ac:dyDescent="0.2">
      <c r="A800" s="2" t="str">
        <f ca="1">IFERROR(__xludf.DUMMYFUNCTION("""COMPUTED_VALUE"""),"GRUPO ONE")</f>
        <v>GRUPO ONE</v>
      </c>
    </row>
    <row r="801" spans="1:1" ht="12.75" x14ac:dyDescent="0.2">
      <c r="A801" s="2" t="str">
        <f ca="1">IFERROR(__xludf.DUMMYFUNCTION("""COMPUTED_VALUE"""),"SISTEMAS COLOMBIA SAS")</f>
        <v>SISTEMAS COLOMBIA SAS</v>
      </c>
    </row>
    <row r="802" spans="1:1" ht="12.75" x14ac:dyDescent="0.2">
      <c r="A802" s="2" t="str">
        <f ca="1">IFERROR(__xludf.DUMMYFUNCTION("""COMPUTED_VALUE"""),"GRUPO SIERRA NEVADA Galerias")</f>
        <v>GRUPO SIERRA NEVADA Galerias</v>
      </c>
    </row>
    <row r="803" spans="1:1" ht="12.75" x14ac:dyDescent="0.2">
      <c r="A803" s="2" t="str">
        <f ca="1">IFERROR(__xludf.DUMMYFUNCTION("""COMPUTED_VALUE"""),"GRUPO SIERRA NEVADA SAS - Cedritos")</f>
        <v>GRUPO SIERRA NEVADA SAS - Cedritos</v>
      </c>
    </row>
    <row r="804" spans="1:1" ht="12.75" x14ac:dyDescent="0.2">
      <c r="A804" s="2" t="str">
        <f ca="1">IFERROR(__xludf.DUMMYFUNCTION("""COMPUTED_VALUE"""),"GSG- GESTIÓN DE SERVICIOS GLOBALES S.A.S.")</f>
        <v>GSG- GESTIÓN DE SERVICIOS GLOBALES S.A.S.</v>
      </c>
    </row>
    <row r="805" spans="1:1" ht="12.75" x14ac:dyDescent="0.2">
      <c r="A805" s="2" t="str">
        <f ca="1">IFERROR(__xludf.DUMMYFUNCTION("""COMPUTED_VALUE"""),"GURUS INVERSIONES SAS")</f>
        <v>GURUS INVERSIONES SAS</v>
      </c>
    </row>
    <row r="806" spans="1:1" ht="12.75" x14ac:dyDescent="0.2">
      <c r="A806" s="2" t="str">
        <f ca="1">IFERROR(__xludf.DUMMYFUNCTION("""COMPUTED_VALUE"""),"HACH COLOMBIA S.A.S")</f>
        <v>HACH COLOMBIA S.A.S</v>
      </c>
    </row>
    <row r="807" spans="1:1" ht="12.75" x14ac:dyDescent="0.2">
      <c r="A807" s="2" t="str">
        <f ca="1">IFERROR(__xludf.DUMMYFUNCTION("""COMPUTED_VALUE"""),"HAUTE PROTOCOLE SAS")</f>
        <v>HAUTE PROTOCOLE SAS</v>
      </c>
    </row>
    <row r="808" spans="1:1" ht="12.75" x14ac:dyDescent="0.2">
      <c r="A808" s="2" t="str">
        <f ca="1">IFERROR(__xludf.DUMMYFUNCTION("""COMPUTED_VALUE"""),"HAVAS MEDIA COLOMBIA S.A.S")</f>
        <v>HAVAS MEDIA COLOMBIA S.A.S</v>
      </c>
    </row>
    <row r="809" spans="1:1" ht="12.75" x14ac:dyDescent="0.2">
      <c r="A809" s="2" t="str">
        <f ca="1">IFERROR(__xludf.DUMMYFUNCTION("""COMPUTED_VALUE"""),"HEINSOHN BUSINESS TECHNOLOGY")</f>
        <v>HEINSOHN BUSINESS TECHNOLOGY</v>
      </c>
    </row>
    <row r="810" spans="1:1" ht="12.75" x14ac:dyDescent="0.2">
      <c r="A810" s="2" t="str">
        <f ca="1">IFERROR(__xludf.DUMMYFUNCTION("""COMPUTED_VALUE"""),"HEINSOHN HUMAN GLOBAL SOLUTIONS")</f>
        <v>HEINSOHN HUMAN GLOBAL SOLUTIONS</v>
      </c>
    </row>
    <row r="811" spans="1:1" ht="12.75" x14ac:dyDescent="0.2">
      <c r="A811" s="2" t="str">
        <f ca="1">IFERROR(__xludf.DUMMYFUNCTION("""COMPUTED_VALUE"""),"HELIOS TECHNOLOGY &amp; INNOVATION SAS")</f>
        <v>HELIOS TECHNOLOGY &amp; INNOVATION SAS</v>
      </c>
    </row>
    <row r="812" spans="1:1" ht="12.75" x14ac:dyDescent="0.2">
      <c r="A812" s="2" t="str">
        <f ca="1">IFERROR(__xludf.DUMMYFUNCTION("""COMPUTED_VALUE"""),"HEXAGON BPO SOLUTIONS COLOMBIA SA")</f>
        <v>HEXAGON BPO SOLUTIONS COLOMBIA SA</v>
      </c>
    </row>
    <row r="813" spans="1:1" ht="12.75" x14ac:dyDescent="0.2">
      <c r="A813" s="2" t="str">
        <f ca="1">IFERROR(__xludf.DUMMYFUNCTION("""COMPUTED_VALUE"""),"HIDALGO E HIDALGO COLOMBIA SAS")</f>
        <v>HIDALGO E HIDALGO COLOMBIA SAS</v>
      </c>
    </row>
    <row r="814" spans="1:1" ht="12.75" x14ac:dyDescent="0.2">
      <c r="A814" s="2" t="str">
        <f ca="1">IFERROR(__xludf.DUMMYFUNCTION("""COMPUTED_VALUE"""),"HIDALGO E HIDALGO COLOMBIA SAS")</f>
        <v>HIDALGO E HIDALGO COLOMBIA SAS</v>
      </c>
    </row>
    <row r="815" spans="1:1" ht="12.75" x14ac:dyDescent="0.2">
      <c r="A815" s="2" t="str">
        <f ca="1">IFERROR(__xludf.DUMMYFUNCTION("""COMPUTED_VALUE"""),"HIGH TECH SOFTWARE S.A.S")</f>
        <v>HIGH TECH SOFTWARE S.A.S</v>
      </c>
    </row>
    <row r="816" spans="1:1" ht="38.25" x14ac:dyDescent="0.2">
      <c r="A816" s="2" t="str">
        <f ca="1">IFERROR(__xludf.DUMMYFUNCTION("""COMPUTED_VALUE"""),"HILTON
(SOCIEDAD OPERADORA 72 GRAN HOTEL SAS)
(OPERADOR HOTELERO PACTIA CORFERIAS SAS)")</f>
        <v>HILTON
(SOCIEDAD OPERADORA 72 GRAN HOTEL SAS)
(OPERADOR HOTELERO PACTIA CORFERIAS SAS)</v>
      </c>
    </row>
    <row r="817" spans="1:1" ht="12.75" x14ac:dyDescent="0.2">
      <c r="A817" s="2" t="str">
        <f ca="1">IFERROR(__xludf.DUMMYFUNCTION("""COMPUTED_VALUE"""),"HIMHER Y CIA SA")</f>
        <v>HIMHER Y CIA SA</v>
      </c>
    </row>
    <row r="818" spans="1:1" ht="12.75" x14ac:dyDescent="0.2">
      <c r="A818" s="2" t="str">
        <f ca="1">IFERROR(__xludf.DUMMYFUNCTION("""COMPUTED_VALUE"""),"HMV INGENIEROS LTDA")</f>
        <v>HMV INGENIEROS LTDA</v>
      </c>
    </row>
    <row r="819" spans="1:1" ht="12.75" x14ac:dyDescent="0.2">
      <c r="A819" s="2" t="str">
        <f ca="1">IFERROR(__xludf.DUMMYFUNCTION("""COMPUTED_VALUE"""),"HOSPITAL UNIVERSITARIO SAN IGNACIO")</f>
        <v>HOSPITAL UNIVERSITARIO SAN IGNACIO</v>
      </c>
    </row>
    <row r="820" spans="1:1" ht="12.75" x14ac:dyDescent="0.2">
      <c r="A820" s="2" t="str">
        <f ca="1">IFERROR(__xludf.DUMMYFUNCTION("""COMPUTED_VALUE"""),"HOSPITAL MILITAR CENTRAL")</f>
        <v>HOSPITAL MILITAR CENTRAL</v>
      </c>
    </row>
    <row r="821" spans="1:1" ht="25.5" x14ac:dyDescent="0.2">
      <c r="A821" s="2" t="str">
        <f ca="1">IFERROR(__xludf.DUMMYFUNCTION("""COMPUTED_VALUE"""),"HOTELES DE RICAURTE SOCIEDAD POR ACCIONES SIMPLIFICADA")</f>
        <v>HOTELES DE RICAURTE SOCIEDAD POR ACCIONES SIMPLIFICADA</v>
      </c>
    </row>
    <row r="822" spans="1:1" ht="12.75" x14ac:dyDescent="0.2">
      <c r="A822" s="2" t="str">
        <f ca="1">IFERROR(__xludf.DUMMYFUNCTION("""COMPUTED_VALUE"""),"HOSPITAL VETERINARIO PRAGA SAS")</f>
        <v>HOSPITAL VETERINARIO PRAGA SAS</v>
      </c>
    </row>
    <row r="823" spans="1:1" ht="12.75" x14ac:dyDescent="0.2">
      <c r="A823" s="2" t="str">
        <f ca="1">IFERROR(__xludf.DUMMYFUNCTION("""COMPUTED_VALUE"""),"HOTELES ESTELAR S.A.")</f>
        <v>HOTELES ESTELAR S.A.</v>
      </c>
    </row>
    <row r="824" spans="1:1" ht="12.75" x14ac:dyDescent="0.2">
      <c r="A824" s="2" t="str">
        <f ca="1">IFERROR(__xludf.DUMMYFUNCTION("""COMPUTED_VALUE"""),"HOTELES ESTELAR S.A. - SEDE LA FONTANA")</f>
        <v>HOTELES ESTELAR S.A. - SEDE LA FONTANA</v>
      </c>
    </row>
    <row r="825" spans="1:1" ht="12.75" x14ac:dyDescent="0.2">
      <c r="A825" s="2" t="str">
        <f ca="1">IFERROR(__xludf.DUMMYFUNCTION("""COMPUTED_VALUE"""),"HOTELES ESTELAR S.A.  - SEDE ADMINISTRATIVA")</f>
        <v>HOTELES ESTELAR S.A.  - SEDE ADMINISTRATIVA</v>
      </c>
    </row>
    <row r="826" spans="1:1" ht="12.75" x14ac:dyDescent="0.2">
      <c r="A826" s="2" t="str">
        <f ca="1">IFERROR(__xludf.DUMMYFUNCTION("""COMPUTED_VALUE"""),"GRUPO SIERRA NEVADA SAS - Virrey")</f>
        <v>GRUPO SIERRA NEVADA SAS - Virrey</v>
      </c>
    </row>
    <row r="827" spans="1:1" ht="12.75" x14ac:dyDescent="0.2">
      <c r="A827" s="2" t="str">
        <f ca="1">IFERROR(__xludf.DUMMYFUNCTION("""COMPUTED_VALUE"""),"GRUPO SIERRA NEVADA SAS - Virrey")</f>
        <v>GRUPO SIERRA NEVADA SAS - Virrey</v>
      </c>
    </row>
    <row r="828" spans="1:1" ht="12.75" x14ac:dyDescent="0.2">
      <c r="A828" s="2" t="str">
        <f ca="1">IFERROR(__xludf.DUMMYFUNCTION("""COMPUTED_VALUE"""),"HUGE SAS")</f>
        <v>HUGE SAS</v>
      </c>
    </row>
    <row r="829" spans="1:1" ht="25.5" x14ac:dyDescent="0.2">
      <c r="A829" s="2" t="str">
        <f ca="1">IFERROR(__xludf.DUMMYFUNCTION("""COMPUTED_VALUE"""),"IBEROAMERICANA DE ALIMENTOS Y SERVICIOS SAS / IBEASER")</f>
        <v>IBEROAMERICANA DE ALIMENTOS Y SERVICIOS SAS / IBEASER</v>
      </c>
    </row>
    <row r="830" spans="1:1" ht="12.75" x14ac:dyDescent="0.2">
      <c r="A830" s="2" t="str">
        <f ca="1">IFERROR(__xludf.DUMMYFUNCTION("""COMPUTED_VALUE"""),"ICC-INGENIERIA Y CONSTRUCCIONES CIVILES SAS")</f>
        <v>ICC-INGENIERIA Y CONSTRUCCIONES CIVILES SAS</v>
      </c>
    </row>
    <row r="831" spans="1:1" ht="12.75" x14ac:dyDescent="0.2">
      <c r="A831" s="2" t="str">
        <f ca="1">IFERROR(__xludf.DUMMYFUNCTION("""COMPUTED_VALUE"""),"ICOL CONSULTORES S.A.S.")</f>
        <v>ICOL CONSULTORES S.A.S.</v>
      </c>
    </row>
    <row r="832" spans="1:1" ht="12.75" x14ac:dyDescent="0.2">
      <c r="A832" s="2" t="str">
        <f ca="1">IFERROR(__xludf.DUMMYFUNCTION("""COMPUTED_VALUE"""),"ICSAFER SAS")</f>
        <v>ICSAFER SAS</v>
      </c>
    </row>
    <row r="833" spans="1:1" ht="12.75" x14ac:dyDescent="0.2">
      <c r="A833" s="2" t="str">
        <f ca="1">IFERROR(__xludf.DUMMYFUNCTION("""COMPUTED_VALUE"""),"IEH GRUCON S.A.")</f>
        <v>IEH GRUCON S.A.</v>
      </c>
    </row>
    <row r="834" spans="1:1" ht="12.75" x14ac:dyDescent="0.2">
      <c r="A834" s="2" t="str">
        <f ca="1">IFERROR(__xludf.DUMMYFUNCTION("""COMPUTED_VALUE"""),"IFX - NETWORKS COLOMBIA SAS.")</f>
        <v>IFX - NETWORKS COLOMBIA SAS.</v>
      </c>
    </row>
    <row r="835" spans="1:1" ht="12.75" x14ac:dyDescent="0.2">
      <c r="A835" s="2" t="str">
        <f ca="1">IFERROR(__xludf.DUMMYFUNCTION("""COMPUTED_VALUE"""),"HELIOS TECHNOLOGY AND INNOVATION")</f>
        <v>HELIOS TECHNOLOGY AND INNOVATION</v>
      </c>
    </row>
    <row r="836" spans="1:1" ht="12.75" x14ac:dyDescent="0.2">
      <c r="A836" s="2" t="str">
        <f ca="1">IFERROR(__xludf.DUMMYFUNCTION("""COMPUTED_VALUE"""),"IFX NETWORKS COLOMBIA SAS")</f>
        <v>IFX NETWORKS COLOMBIA SAS</v>
      </c>
    </row>
    <row r="837" spans="1:1" ht="25.5" x14ac:dyDescent="0.2">
      <c r="A837" s="2" t="str">
        <f ca="1">IFERROR(__xludf.DUMMYFUNCTION("""COMPUTED_VALUE"""),"IGT SERVICES AND TECHNOLOGIES COLOMBIA S.A.S.")</f>
        <v>IGT SERVICES AND TECHNOLOGIES COLOMBIA S.A.S.</v>
      </c>
    </row>
    <row r="838" spans="1:1" ht="12.75" x14ac:dyDescent="0.2">
      <c r="A838" s="2" t="str">
        <f ca="1">IFERROR(__xludf.DUMMYFUNCTION("""COMPUTED_VALUE"""),"ILUNION LAVANDERIA BogotáS.A.S- SEDE PRINCIPAL")</f>
        <v>ILUNION LAVANDERIA BogotáS.A.S- SEDE PRINCIPAL</v>
      </c>
    </row>
    <row r="839" spans="1:1" ht="12.75" x14ac:dyDescent="0.2">
      <c r="A839" s="2" t="str">
        <f ca="1">IFERROR(__xludf.DUMMYFUNCTION("""COMPUTED_VALUE"""),"ILUNION LAVANDERIA BogotáS.A.S")</f>
        <v>ILUNION LAVANDERIA BogotáS.A.S</v>
      </c>
    </row>
    <row r="840" spans="1:1" ht="12.75" x14ac:dyDescent="0.2">
      <c r="A840" s="2" t="str">
        <f ca="1">IFERROR(__xludf.DUMMYFUNCTION("""COMPUTED_VALUE"""),"ILUNION LAVANDERIA BogotáS.A.S.- SEDE HOMI")</f>
        <v>ILUNION LAVANDERIA BogotáS.A.S.- SEDE HOMI</v>
      </c>
    </row>
    <row r="841" spans="1:1" ht="12.75" x14ac:dyDescent="0.2">
      <c r="A841" s="2" t="str">
        <f ca="1">IFERROR(__xludf.DUMMYFUNCTION("""COMPUTED_VALUE"""),"ILUNION LAVANDERIA BogotáS.AS.- SEDE COUNTRY")</f>
        <v>ILUNION LAVANDERIA BogotáS.AS.- SEDE COUNTRY</v>
      </c>
    </row>
    <row r="842" spans="1:1" ht="25.5" x14ac:dyDescent="0.2">
      <c r="A842" s="2" t="str">
        <f ca="1">IFERROR(__xludf.DUMMYFUNCTION("""COMPUTED_VALUE"""),"ILUNION LAVANDERIA BogotáSA.S.- SEDE CLINICA SHAIO")</f>
        <v>ILUNION LAVANDERIA BogotáSA.S.- SEDE CLINICA SHAIO</v>
      </c>
    </row>
    <row r="843" spans="1:1" ht="25.5" x14ac:dyDescent="0.2">
      <c r="A843" s="2" t="str">
        <f ca="1">IFERROR(__xludf.DUMMYFUNCTION("""COMPUTED_VALUE"""),"ILUNION LAVANDERIA BogotáSAS.- SEDE CLINICA COLINA")</f>
        <v>ILUNION LAVANDERIA BogotáSAS.- SEDE CLINICA COLINA</v>
      </c>
    </row>
    <row r="844" spans="1:1" ht="12.75" x14ac:dyDescent="0.2">
      <c r="A844" s="2" t="str">
        <f ca="1">IFERROR(__xludf.DUMMYFUNCTION("""COMPUTED_VALUE"""),"IMEVI SOLUCIONES INTEGRADAS EN SALUD VISUAL")</f>
        <v>IMEVI SOLUCIONES INTEGRADAS EN SALUD VISUAL</v>
      </c>
    </row>
    <row r="845" spans="1:1" ht="12.75" x14ac:dyDescent="0.2">
      <c r="A845" s="2" t="str">
        <f ca="1">IFERROR(__xludf.DUMMYFUNCTION("""COMPUTED_VALUE"""),"IMPLEMENTAR SAS")</f>
        <v>IMPLEMENTAR SAS</v>
      </c>
    </row>
    <row r="846" spans="1:1" ht="12.75" x14ac:dyDescent="0.2">
      <c r="A846" s="2" t="str">
        <f ca="1">IFERROR(__xludf.DUMMYFUNCTION("""COMPUTED_VALUE"""),"INACSA SAS o AMERICANA DE COLCHONES")</f>
        <v>INACSA SAS o AMERICANA DE COLCHONES</v>
      </c>
    </row>
    <row r="847" spans="1:1" ht="12.75" x14ac:dyDescent="0.2">
      <c r="A847" s="2" t="str">
        <f ca="1">IFERROR(__xludf.DUMMYFUNCTION("""COMPUTED_VALUE"""),"INCITECO SAS")</f>
        <v>INCITECO SAS</v>
      </c>
    </row>
    <row r="848" spans="1:1" ht="12.75" x14ac:dyDescent="0.2">
      <c r="A848" s="2" t="str">
        <f ca="1">IFERROR(__xludf.DUMMYFUNCTION("""COMPUTED_VALUE"""),"INDUSTRIA NACIONAL DE GASEOSAS")</f>
        <v>INDUSTRIA NACIONAL DE GASEOSAS</v>
      </c>
    </row>
    <row r="849" spans="1:1" ht="12.75" x14ac:dyDescent="0.2">
      <c r="A849" s="2" t="str">
        <f ca="1">IFERROR(__xludf.DUMMYFUNCTION("""COMPUTED_VALUE"""),"INDUSTRIAS LA VICTORIA SAS")</f>
        <v>INDUSTRIAS LA VICTORIA SAS</v>
      </c>
    </row>
    <row r="850" spans="1:1" ht="12.75" x14ac:dyDescent="0.2">
      <c r="A850" s="2" t="str">
        <f ca="1">IFERROR(__xludf.DUMMYFUNCTION("""COMPUTED_VALUE"""),"INDUSTRIAS LA VICTORIA SAS-SOACHA")</f>
        <v>INDUSTRIAS LA VICTORIA SAS-SOACHA</v>
      </c>
    </row>
    <row r="851" spans="1:1" ht="12.75" x14ac:dyDescent="0.2">
      <c r="A851" s="2" t="str">
        <f ca="1">IFERROR(__xludf.DUMMYFUNCTION("""COMPUTED_VALUE"""),"INDUSTRIAS SPRING S.A.S")</f>
        <v>INDUSTRIAS SPRING S.A.S</v>
      </c>
    </row>
    <row r="852" spans="1:1" ht="12.75" x14ac:dyDescent="0.2">
      <c r="A852" s="2" t="str">
        <f ca="1">IFERROR(__xludf.DUMMYFUNCTION("""COMPUTED_VALUE"""),"INDUSTRIAS SPRING S.A.S SEDE Bogotá")</f>
        <v>INDUSTRIAS SPRING S.A.S SEDE Bogotá</v>
      </c>
    </row>
    <row r="853" spans="1:1" ht="12.75" x14ac:dyDescent="0.2">
      <c r="A853" s="2" t="str">
        <f ca="1">IFERROR(__xludf.DUMMYFUNCTION("""COMPUTED_VALUE"""),"IDEPLAS SAS")</f>
        <v>IDEPLAS SAS</v>
      </c>
    </row>
    <row r="854" spans="1:1" ht="12.75" x14ac:dyDescent="0.2">
      <c r="A854" s="2" t="str">
        <f ca="1">IFERROR(__xludf.DUMMYFUNCTION("""COMPUTED_VALUE"""),"INDUSTRIAS SPRING S.A.S")</f>
        <v>INDUSTRIAS SPRING S.A.S</v>
      </c>
    </row>
    <row r="855" spans="1:1" ht="12.75" x14ac:dyDescent="0.2">
      <c r="A855" s="2" t="str">
        <f ca="1">IFERROR(__xludf.DUMMYFUNCTION("""COMPUTED_VALUE"""),"INFERCAL SAS")</f>
        <v>INFERCAL SAS</v>
      </c>
    </row>
    <row r="856" spans="1:1" ht="12.75" x14ac:dyDescent="0.2">
      <c r="A856" s="2" t="str">
        <f ca="1">IFERROR(__xludf.DUMMYFUNCTION("""COMPUTED_VALUE"""),"INFORMATICA Y TÉCNOLOGIA STEFANINI")</f>
        <v>INFORMATICA Y TÉCNOLOGIA STEFANINI</v>
      </c>
    </row>
    <row r="857" spans="1:1" ht="12.75" x14ac:dyDescent="0.2">
      <c r="A857" s="2" t="str">
        <f ca="1">IFERROR(__xludf.DUMMYFUNCTION("""COMPUTED_VALUE"""),"INFORPETROL SA")</f>
        <v>INFORPETROL SA</v>
      </c>
    </row>
    <row r="858" spans="1:1" ht="12.75" x14ac:dyDescent="0.2">
      <c r="A858" s="2" t="str">
        <f ca="1">IFERROR(__xludf.DUMMYFUNCTION("""COMPUTED_VALUE"""),"Infotrack S.A")</f>
        <v>Infotrack S.A</v>
      </c>
    </row>
    <row r="859" spans="1:1" ht="38.25" x14ac:dyDescent="0.2">
      <c r="A859" s="2" t="str">
        <f ca="1">IFERROR(__xludf.DUMMYFUNCTION("""COMPUTED_VALUE"""),"Infotrack S.A
Comercializadora City parts SAS")</f>
        <v>Infotrack S.A
Comercializadora City parts SAS</v>
      </c>
    </row>
    <row r="860" spans="1:1" ht="12.75" x14ac:dyDescent="0.2">
      <c r="A860" s="2" t="str">
        <f ca="1">IFERROR(__xludf.DUMMYFUNCTION("""COMPUTED_VALUE"""),"INFRAOBRAS INGENIERIA SAS")</f>
        <v>INFRAOBRAS INGENIERIA SAS</v>
      </c>
    </row>
    <row r="861" spans="1:1" ht="12.75" x14ac:dyDescent="0.2">
      <c r="A861" s="2" t="str">
        <f ca="1">IFERROR(__xludf.DUMMYFUNCTION("""COMPUTED_VALUE"""),"ING INGENIERIA SAS")</f>
        <v>ING INGENIERIA SAS</v>
      </c>
    </row>
    <row r="862" spans="1:1" ht="12.75" x14ac:dyDescent="0.2">
      <c r="A862" s="2" t="str">
        <f ca="1">IFERROR(__xludf.DUMMYFUNCTION("""COMPUTED_VALUE"""),"ING LTDA")</f>
        <v>ING LTDA</v>
      </c>
    </row>
    <row r="863" spans="1:1" ht="12.75" x14ac:dyDescent="0.2">
      <c r="A863" s="2" t="str">
        <f ca="1">IFERROR(__xludf.DUMMYFUNCTION("""COMPUTED_VALUE"""),"INGECON S.A.")</f>
        <v>INGECON S.A.</v>
      </c>
    </row>
    <row r="864" spans="1:1" ht="12.75" x14ac:dyDescent="0.2">
      <c r="A864" s="2" t="str">
        <f ca="1">IFERROR(__xludf.DUMMYFUNCTION("""COMPUTED_VALUE"""),"INGENIERIA RH SAS")</f>
        <v>INGENIERIA RH SAS</v>
      </c>
    </row>
    <row r="865" spans="1:1" ht="12.75" x14ac:dyDescent="0.2">
      <c r="A865" s="2" t="str">
        <f ca="1">IFERROR(__xludf.DUMMYFUNCTION("""COMPUTED_VALUE"""),"INGENIERIA Y GESTION VIAL SAS")</f>
        <v>INGENIERIA Y GESTION VIAL SAS</v>
      </c>
    </row>
    <row r="866" spans="1:1" ht="12.75" x14ac:dyDescent="0.2">
      <c r="A866" s="2" t="str">
        <f ca="1">IFERROR(__xludf.DUMMYFUNCTION("""COMPUTED_VALUE"""),"INGENIERIA Y PROYECTOS ARCA S.A.S.")</f>
        <v>INGENIERIA Y PROYECTOS ARCA S.A.S.</v>
      </c>
    </row>
    <row r="867" spans="1:1" ht="25.5" x14ac:dyDescent="0.2">
      <c r="A867" s="2" t="str">
        <f ca="1">IFERROR(__xludf.DUMMYFUNCTION("""COMPUTED_VALUE"""),"INGENIERIA Y SERVICIO ESPECIALIZADO DE COMÚnicaCIONES S.A. ISEC S.A.")</f>
        <v>INGENIERIA Y SERVICIO ESPECIALIZADO DE COMÚnicaCIONES S.A. ISEC S.A.</v>
      </c>
    </row>
    <row r="868" spans="1:1" ht="25.5" x14ac:dyDescent="0.2">
      <c r="A868" s="2" t="str">
        <f ca="1">IFERROR(__xludf.DUMMYFUNCTION("""COMPUTED_VALUE"""),"INGENIEROS CIVILES Y SANITARIOS ASOCIADOS SAS INC SAS")</f>
        <v>INGENIEROS CIVILES Y SANITARIOS ASOCIADOS SAS INC SAS</v>
      </c>
    </row>
    <row r="869" spans="1:1" ht="12.75" x14ac:dyDescent="0.2">
      <c r="A869" s="2" t="str">
        <f ca="1">IFERROR(__xludf.DUMMYFUNCTION("""COMPUTED_VALUE"""),"INGENIO COLOMBIANO INGCO SAS")</f>
        <v>INGENIO COLOMBIANO INGCO SAS</v>
      </c>
    </row>
    <row r="870" spans="1:1" ht="12.75" x14ac:dyDescent="0.2">
      <c r="A870" s="2" t="str">
        <f ca="1">IFERROR(__xludf.DUMMYFUNCTION("""COMPUTED_VALUE"""),"INGETEC SAS")</f>
        <v>INGETEC SAS</v>
      </c>
    </row>
    <row r="871" spans="1:1" ht="25.5" x14ac:dyDescent="0.2">
      <c r="A871" s="2" t="str">
        <f ca="1">IFERROR(__xludf.DUMMYFUNCTION("""COMPUTED_VALUE"""),"INGETECHO Y CONSTRUCCIONES SAS /
INGEDUCTOS INGENIERIA ESPECIALIZADA SAS")</f>
        <v>INGETECHO Y CONSTRUCCIONES SAS /
INGEDUCTOS INGENIERIA ESPECIALIZADA SAS</v>
      </c>
    </row>
    <row r="872" spans="1:1" ht="12.75" x14ac:dyDescent="0.2">
      <c r="A872" s="2" t="str">
        <f ca="1">IFERROR(__xludf.DUMMYFUNCTION("""COMPUTED_VALUE"""),"INGEURBE GESTORA DE PROYECTOS SAS")</f>
        <v>INGEURBE GESTORA DE PROYECTOS SAS</v>
      </c>
    </row>
    <row r="873" spans="1:1" ht="12.75" x14ac:dyDescent="0.2">
      <c r="A873" s="2" t="str">
        <f ca="1">IFERROR(__xludf.DUMMYFUNCTION("""COMPUTED_VALUE"""),"INGNOVACON SAS")</f>
        <v>INGNOVACON SAS</v>
      </c>
    </row>
    <row r="874" spans="1:1" ht="12.75" x14ac:dyDescent="0.2">
      <c r="A874" s="2" t="str">
        <f ca="1">IFERROR(__xludf.DUMMYFUNCTION("""COMPUTED_VALUE"""),"INGRAM MICRO SAS")</f>
        <v>INGRAM MICRO SAS</v>
      </c>
    </row>
    <row r="875" spans="1:1" ht="12.75" x14ac:dyDescent="0.2">
      <c r="A875" s="2" t="str">
        <f ca="1">IFERROR(__xludf.DUMMYFUNCTION("""COMPUTED_VALUE"""),"INMOV S.A.S.")</f>
        <v>INMOV S.A.S.</v>
      </c>
    </row>
    <row r="876" spans="1:1" ht="12.75" x14ac:dyDescent="0.2">
      <c r="A876" s="2" t="str">
        <f ca="1">IFERROR(__xludf.DUMMYFUNCTION("""COMPUTED_VALUE"""),"INNOVA TECH IT SAS")</f>
        <v>INNOVA TECH IT SAS</v>
      </c>
    </row>
    <row r="877" spans="1:1" ht="25.5" x14ac:dyDescent="0.2">
      <c r="A877" s="2" t="str">
        <f ca="1">IFERROR(__xludf.DUMMYFUNCTION("""COMPUTED_VALUE"""),"INSPECTOR GENERAL DE TRIBUTOS, RENTAS Y CONTRIBUCIONES PARAFISCALES")</f>
        <v>INSPECTOR GENERAL DE TRIBUTOS, RENTAS Y CONTRIBUCIONES PARAFISCALES</v>
      </c>
    </row>
    <row r="878" spans="1:1" ht="12.75" x14ac:dyDescent="0.2">
      <c r="A878" s="2" t="str">
        <f ca="1">IFERROR(__xludf.DUMMYFUNCTION("""COMPUTED_VALUE"""),"INSTITUTO CARO Y CUERVO")</f>
        <v>INSTITUTO CARO Y CUERVO</v>
      </c>
    </row>
    <row r="879" spans="1:1" ht="12.75" x14ac:dyDescent="0.2">
      <c r="A879" s="2" t="str">
        <f ca="1">IFERROR(__xludf.DUMMYFUNCTION("""COMPUTED_VALUE"""),"INSTITUTO CARO Y CUERVO - PRINCIPAL BOGOTÁ")</f>
        <v>INSTITUTO CARO Y CUERVO - PRINCIPAL BOGOTÁ</v>
      </c>
    </row>
    <row r="880" spans="1:1" ht="12.75" x14ac:dyDescent="0.2">
      <c r="A880" s="2" t="str">
        <f ca="1">IFERROR(__xludf.DUMMYFUNCTION("""COMPUTED_VALUE"""),"INSTITUTO CARO Y CUERVO - SEDE Chía")</f>
        <v>INSTITUTO CARO Y CUERVO - SEDE Chía</v>
      </c>
    </row>
    <row r="881" spans="1:1" ht="12.75" x14ac:dyDescent="0.2">
      <c r="A881" s="2" t="str">
        <f ca="1">IFERROR(__xludf.DUMMYFUNCTION("""COMPUTED_VALUE"""),"INSTITUTO DE DESARROLLO URBANO")</f>
        <v>INSTITUTO DE DESARROLLO URBANO</v>
      </c>
    </row>
    <row r="882" spans="1:1" ht="12.75" x14ac:dyDescent="0.2">
      <c r="A882" s="2" t="str">
        <f ca="1">IFERROR(__xludf.DUMMYFUNCTION("""COMPUTED_VALUE"""),"INSTITUTO DE DIAGNOSTICO MEDICO S.A.")</f>
        <v>INSTITUTO DE DIAGNOSTICO MEDICO S.A.</v>
      </c>
    </row>
    <row r="883" spans="1:1" ht="12.75" x14ac:dyDescent="0.2">
      <c r="A883" s="2" t="str">
        <f ca="1">IFERROR(__xludf.DUMMYFUNCTION("""COMPUTED_VALUE"""),"U.A.E INSTITUTO NACIONAL DE METROLOGIA INM")</f>
        <v>U.A.E INSTITUTO NACIONAL DE METROLOGIA INM</v>
      </c>
    </row>
    <row r="884" spans="1:1" ht="12.75" x14ac:dyDescent="0.2">
      <c r="A884" s="2" t="str">
        <f ca="1">IFERROR(__xludf.DUMMYFUNCTION("""COMPUTED_VALUE"""),"INTEEGRA S.A.S")</f>
        <v>INTEEGRA S.A.S</v>
      </c>
    </row>
    <row r="885" spans="1:1" ht="12.75" x14ac:dyDescent="0.2">
      <c r="A885" s="2" t="str">
        <f ca="1">IFERROR(__xludf.DUMMYFUNCTION("""COMPUTED_VALUE"""),"INTERRAPIDISIMO SA")</f>
        <v>INTERRAPIDISIMO SA</v>
      </c>
    </row>
    <row r="886" spans="1:1" ht="12.75" x14ac:dyDescent="0.2">
      <c r="A886" s="2" t="str">
        <f ca="1">IFERROR(__xludf.DUMMYFUNCTION("""COMPUTED_VALUE"""),"INTRAMAR SHIPPING SAS")</f>
        <v>INTRAMAR SHIPPING SAS</v>
      </c>
    </row>
    <row r="887" spans="1:1" ht="12.75" x14ac:dyDescent="0.2">
      <c r="A887" s="2" t="str">
        <f ca="1">IFERROR(__xludf.DUMMYFUNCTION("""COMPUTED_VALUE"""),"INTUITO SAS")</f>
        <v>INTUITO SAS</v>
      </c>
    </row>
    <row r="888" spans="1:1" ht="12.75" x14ac:dyDescent="0.2">
      <c r="A888" s="2" t="str">
        <f ca="1">IFERROR(__xludf.DUMMYFUNCTION("""COMPUTED_VALUE"""),"INVERJENOS SAS")</f>
        <v>INVERJENOS SAS</v>
      </c>
    </row>
    <row r="889" spans="1:1" ht="12.75" x14ac:dyDescent="0.2">
      <c r="A889" s="2" t="str">
        <f ca="1">IFERROR(__xludf.DUMMYFUNCTION("""COMPUTED_VALUE"""),"INVERJENOS SAS")</f>
        <v>INVERJENOS SAS</v>
      </c>
    </row>
    <row r="890" spans="1:1" ht="12.75" x14ac:dyDescent="0.2">
      <c r="A890" s="2" t="str">
        <f ca="1">IFERROR(__xludf.DUMMYFUNCTION("""COMPUTED_VALUE"""),"INVERSIONES GUERFOR")</f>
        <v>INVERSIONES GUERFOR</v>
      </c>
    </row>
    <row r="891" spans="1:1" ht="12.75" x14ac:dyDescent="0.2">
      <c r="A891" s="2" t="str">
        <f ca="1">IFERROR(__xludf.DUMMYFUNCTION("""COMPUTED_VALUE"""),"INVERSIONES LONTANO SAS")</f>
        <v>INVERSIONES LONTANO SAS</v>
      </c>
    </row>
    <row r="892" spans="1:1" ht="12.75" x14ac:dyDescent="0.2">
      <c r="A892" s="2" t="str">
        <f ca="1">IFERROR(__xludf.DUMMYFUNCTION("""COMPUTED_VALUE"""),"INVERSIONES PENIEL SAS")</f>
        <v>INVERSIONES PENIEL SAS</v>
      </c>
    </row>
    <row r="893" spans="1:1" ht="12.75" x14ac:dyDescent="0.2">
      <c r="A893" s="2" t="str">
        <f ca="1">IFERROR(__xludf.DUMMYFUNCTION("""COMPUTED_VALUE"""),"INVERSIONES PEVITO SAS")</f>
        <v>INVERSIONES PEVITO SAS</v>
      </c>
    </row>
    <row r="894" spans="1:1" ht="12.75" x14ac:dyDescent="0.2">
      <c r="A894" s="2" t="str">
        <f ca="1">IFERROR(__xludf.DUMMYFUNCTION("""COMPUTED_VALUE"""),"INVERSIONES RODRIGUEZ INCOMRO S.A.S")</f>
        <v>INVERSIONES RODRIGUEZ INCOMRO S.A.S</v>
      </c>
    </row>
    <row r="895" spans="1:1" ht="25.5" x14ac:dyDescent="0.2">
      <c r="A895" s="2" t="str">
        <f ca="1">IFERROR(__xludf.DUMMYFUNCTION("""COMPUTED_VALUE"""),"INVERSIONES Y OPERACIONES
DEL SUR S.A")</f>
        <v>INVERSIONES Y OPERACIONES
DEL SUR S.A</v>
      </c>
    </row>
    <row r="896" spans="1:1" ht="12.75" x14ac:dyDescent="0.2">
      <c r="A896" s="2" t="str">
        <f ca="1">IFERROR(__xludf.DUMMYFUNCTION("""COMPUTED_VALUE"""),"IRCC SAS")</f>
        <v>IRCC SAS</v>
      </c>
    </row>
    <row r="897" spans="1:1" ht="12.75" x14ac:dyDescent="0.2">
      <c r="A897" s="2" t="str">
        <f ca="1">IFERROR(__xludf.DUMMYFUNCTION("""COMPUTED_VALUE"""),"INVIAS")</f>
        <v>INVIAS</v>
      </c>
    </row>
    <row r="898" spans="1:1" ht="12.75" x14ac:dyDescent="0.2">
      <c r="A898" s="2" t="str">
        <f ca="1">IFERROR(__xludf.DUMMYFUNCTION("""COMPUTED_VALUE"""),"IRCC SAS")</f>
        <v>IRCC SAS</v>
      </c>
    </row>
    <row r="899" spans="1:1" ht="12.75" x14ac:dyDescent="0.2">
      <c r="A899" s="2" t="str">
        <f ca="1">IFERROR(__xludf.DUMMYFUNCTION("""COMPUTED_VALUE"""),"IRCC SAS")</f>
        <v>IRCC SAS</v>
      </c>
    </row>
    <row r="900" spans="1:1" ht="12.75" x14ac:dyDescent="0.2">
      <c r="A900" s="2" t="str">
        <f ca="1">IFERROR(__xludf.DUMMYFUNCTION("""COMPUTED_VALUE"""),"IRCC SAS - PLAZA IMPERIAL ")</f>
        <v xml:space="preserve">IRCC SAS - PLAZA IMPERIAL </v>
      </c>
    </row>
    <row r="901" spans="1:1" ht="12.75" x14ac:dyDescent="0.2">
      <c r="A901" s="2" t="str">
        <f ca="1">IFERROR(__xludf.DUMMYFUNCTION("""COMPUTED_VALUE"""),"IRCC SAS - CALLE 192")</f>
        <v>IRCC SAS - CALLE 192</v>
      </c>
    </row>
    <row r="902" spans="1:1" ht="12.75" x14ac:dyDescent="0.2">
      <c r="A902" s="2" t="str">
        <f ca="1">IFERROR(__xludf.DUMMYFUNCTION("""COMPUTED_VALUE"""),"IRCC SAS - CALLE 116")</f>
        <v>IRCC SAS - CALLE 116</v>
      </c>
    </row>
    <row r="903" spans="1:1" ht="12.75" x14ac:dyDescent="0.2">
      <c r="A903" s="2" t="str">
        <f ca="1">IFERROR(__xludf.DUMMYFUNCTION("""COMPUTED_VALUE"""),"IRCC SAS - CEDRITOS")</f>
        <v>IRCC SAS - CEDRITOS</v>
      </c>
    </row>
    <row r="904" spans="1:1" ht="12.75" x14ac:dyDescent="0.2">
      <c r="A904" s="2" t="str">
        <f ca="1">IFERROR(__xludf.DUMMYFUNCTION("""COMPUTED_VALUE"""),"IRCC SAS - AEROPUERTO")</f>
        <v>IRCC SAS - AEROPUERTO</v>
      </c>
    </row>
    <row r="905" spans="1:1" ht="12.75" x14ac:dyDescent="0.2">
      <c r="A905" s="2" t="str">
        <f ca="1">IFERROR(__xludf.DUMMYFUNCTION("""COMPUTED_VALUE"""),"IRCC SAS - AMERICAS")</f>
        <v>IRCC SAS - AMERICAS</v>
      </c>
    </row>
    <row r="906" spans="1:1" ht="12.75" x14ac:dyDescent="0.2">
      <c r="A906" s="2" t="str">
        <f ca="1">IFERROR(__xludf.DUMMYFUNCTION("""COMPUTED_VALUE"""),"IRCC SAS - CAFAM FLORESTA")</f>
        <v>IRCC SAS - CAFAM FLORESTA</v>
      </c>
    </row>
    <row r="907" spans="1:1" ht="12.75" x14ac:dyDescent="0.2">
      <c r="A907" s="2" t="str">
        <f ca="1">IFERROR(__xludf.DUMMYFUNCTION("""COMPUTED_VALUE"""),"IRCC SAS - CALIMA")</f>
        <v>IRCC SAS - CALIMA</v>
      </c>
    </row>
    <row r="908" spans="1:1" ht="12.75" x14ac:dyDescent="0.2">
      <c r="A908" s="2" t="str">
        <f ca="1">IFERROR(__xludf.DUMMYFUNCTION("""COMPUTED_VALUE"""),"IRCC SAS - CALLE 90")</f>
        <v>IRCC SAS - CALLE 90</v>
      </c>
    </row>
    <row r="909" spans="1:1" ht="12.75" x14ac:dyDescent="0.2">
      <c r="A909" s="2" t="str">
        <f ca="1">IFERROR(__xludf.DUMMYFUNCTION("""COMPUTED_VALUE"""),"IRCC SAS - CAN")</f>
        <v>IRCC SAS - CAN</v>
      </c>
    </row>
    <row r="910" spans="1:1" ht="12.75" x14ac:dyDescent="0.2">
      <c r="A910" s="2" t="str">
        <f ca="1">IFERROR(__xludf.DUMMYFUNCTION("""COMPUTED_VALUE"""),"IRCC SAS - CAPITAL CENTER")</f>
        <v>IRCC SAS - CAPITAL CENTER</v>
      </c>
    </row>
    <row r="911" spans="1:1" ht="12.75" x14ac:dyDescent="0.2">
      <c r="A911" s="2" t="str">
        <f ca="1">IFERROR(__xludf.DUMMYFUNCTION("""COMPUTED_VALUE"""),"IRCC SAS - CAPITAL TOWER")</f>
        <v>IRCC SAS - CAPITAL TOWER</v>
      </c>
    </row>
    <row r="912" spans="1:1" ht="12.75" x14ac:dyDescent="0.2">
      <c r="A912" s="2" t="str">
        <f ca="1">IFERROR(__xludf.DUMMYFUNCTION("""COMPUTED_VALUE"""),"IRCC SAS - CAPITAL TOWER.")</f>
        <v>IRCC SAS - CAPITAL TOWER.</v>
      </c>
    </row>
    <row r="913" spans="1:1" ht="12.75" x14ac:dyDescent="0.2">
      <c r="A913" s="2" t="str">
        <f ca="1">IFERROR(__xludf.DUMMYFUNCTION("""COMPUTED_VALUE"""),"IRCC SAS - CONECTA 26")</f>
        <v>IRCC SAS - CONECTA 26</v>
      </c>
    </row>
    <row r="914" spans="1:1" ht="12.75" x14ac:dyDescent="0.2">
      <c r="A914" s="2" t="str">
        <f ca="1">IFERROR(__xludf.DUMMYFUNCTION("""COMPUTED_VALUE"""),"IRCC SAS - GALERIAS")</f>
        <v>IRCC SAS - GALERIAS</v>
      </c>
    </row>
    <row r="915" spans="1:1" ht="12.75" x14ac:dyDescent="0.2">
      <c r="A915" s="2" t="str">
        <f ca="1">IFERROR(__xludf.DUMMYFUNCTION("""COMPUTED_VALUE"""),"IRCC SAS - GRAN ESTACION")</f>
        <v>IRCC SAS - GRAN ESTACION</v>
      </c>
    </row>
    <row r="916" spans="1:1" ht="12.75" x14ac:dyDescent="0.2">
      <c r="A916" s="2" t="str">
        <f ca="1">IFERROR(__xludf.DUMMYFUNCTION("""COMPUTED_VALUE"""),"IRCC SAS - JUMBO 170")</f>
        <v>IRCC SAS - JUMBO 170</v>
      </c>
    </row>
    <row r="917" spans="1:1" ht="12.75" x14ac:dyDescent="0.2">
      <c r="A917" s="2" t="str">
        <f ca="1">IFERROR(__xludf.DUMMYFUNCTION("""COMPUTED_VALUE"""),"IRCC SAS - KENNEDY")</f>
        <v>IRCC SAS - KENNEDY</v>
      </c>
    </row>
    <row r="918" spans="1:1" ht="12.75" x14ac:dyDescent="0.2">
      <c r="A918" s="2" t="str">
        <f ca="1">IFERROR(__xludf.DUMMYFUNCTION("""COMPUTED_VALUE"""),"IRCC SAS - LAGO")</f>
        <v>IRCC SAS - LAGO</v>
      </c>
    </row>
    <row r="919" spans="1:1" ht="12.75" x14ac:dyDescent="0.2">
      <c r="A919" s="2" t="str">
        <f ca="1">IFERROR(__xludf.DUMMYFUNCTION("""COMPUTED_VALUE"""),"IRCC SAS - PARWAY")</f>
        <v>IRCC SAS - PARWAY</v>
      </c>
    </row>
    <row r="920" spans="1:1" ht="12.75" x14ac:dyDescent="0.2">
      <c r="A920" s="2" t="str">
        <f ca="1">IFERROR(__xludf.DUMMYFUNCTION("""COMPUTED_VALUE"""),"IRCC SAS - PLANTA")</f>
        <v>IRCC SAS - PLANTA</v>
      </c>
    </row>
    <row r="921" spans="1:1" ht="12.75" x14ac:dyDescent="0.2">
      <c r="A921" s="2" t="str">
        <f ca="1">IFERROR(__xludf.DUMMYFUNCTION("""COMPUTED_VALUE"""),"IRCC SAS - PLAZA 127")</f>
        <v>IRCC SAS - PLAZA 127</v>
      </c>
    </row>
    <row r="922" spans="1:1" ht="12.75" x14ac:dyDescent="0.2">
      <c r="A922" s="2" t="str">
        <f ca="1">IFERROR(__xludf.DUMMYFUNCTION("""COMPUTED_VALUE"""),"IRCC SAS - RESTREPO")</f>
        <v>IRCC SAS - RESTREPO</v>
      </c>
    </row>
    <row r="923" spans="1:1" ht="12.75" x14ac:dyDescent="0.2">
      <c r="A923" s="2" t="str">
        <f ca="1">IFERROR(__xludf.DUMMYFUNCTION("""COMPUTED_VALUE"""),"IRCC SAS - SALITRE")</f>
        <v>IRCC SAS - SALITRE</v>
      </c>
    </row>
    <row r="924" spans="1:1" ht="12.75" x14ac:dyDescent="0.2">
      <c r="A924" s="2" t="str">
        <f ca="1">IFERROR(__xludf.DUMMYFUNCTION("""COMPUTED_VALUE"""),"IRCC SAS - SAN RAFAEL")</f>
        <v>IRCC SAS - SAN RAFAEL</v>
      </c>
    </row>
    <row r="925" spans="1:1" ht="12.75" x14ac:dyDescent="0.2">
      <c r="A925" s="2" t="str">
        <f ca="1">IFERROR(__xludf.DUMMYFUNCTION("""COMPUTED_VALUE"""),"IRCC SAS - SANTA ANA")</f>
        <v>IRCC SAS - SANTA ANA</v>
      </c>
    </row>
    <row r="926" spans="1:1" ht="12.75" x14ac:dyDescent="0.2">
      <c r="A926" s="2" t="str">
        <f ca="1">IFERROR(__xludf.DUMMYFUNCTION("""COMPUTED_VALUE"""),"IRCC SAS - VIVA FONTIBON")</f>
        <v>IRCC SAS - VIVA FONTIBON</v>
      </c>
    </row>
    <row r="927" spans="1:1" ht="12.75" x14ac:dyDescent="0.2">
      <c r="A927" s="2" t="str">
        <f ca="1">IFERROR(__xludf.DUMMYFUNCTION("""COMPUTED_VALUE"""),"IRON MOUNTAIN COLOMBIA")</f>
        <v>IRON MOUNTAIN COLOMBIA</v>
      </c>
    </row>
    <row r="928" spans="1:1" ht="12.75" x14ac:dyDescent="0.2">
      <c r="A928" s="2" t="str">
        <f ca="1">IFERROR(__xludf.DUMMYFUNCTION("""COMPUTED_VALUE"""),"IRON MOUNTAIN SERVICES S.A.S")</f>
        <v>IRON MOUNTAIN SERVICES S.A.S</v>
      </c>
    </row>
    <row r="929" spans="1:1" ht="12.75" x14ac:dyDescent="0.2">
      <c r="A929" s="2" t="str">
        <f ca="1">IFERROR(__xludf.DUMMYFUNCTION("""COMPUTED_VALUE"""),"ISEGORÍA SAS")</f>
        <v>ISEGORÍA SAS</v>
      </c>
    </row>
    <row r="930" spans="1:1" ht="12.75" x14ac:dyDescent="0.2">
      <c r="A930" s="2" t="str">
        <f ca="1">IFERROR(__xludf.DUMMYFUNCTION("""COMPUTED_VALUE"""),"JAHV MCGREGOR S.A.S")</f>
        <v>JAHV MCGREGOR S.A.S</v>
      </c>
    </row>
    <row r="931" spans="1:1" ht="12.75" x14ac:dyDescent="0.2">
      <c r="A931" s="2" t="str">
        <f ca="1">IFERROR(__xludf.DUMMYFUNCTION("""COMPUTED_VALUE"""),"JLX PROYECTOS SAS")</f>
        <v>JLX PROYECTOS SAS</v>
      </c>
    </row>
    <row r="932" spans="1:1" ht="12.75" x14ac:dyDescent="0.2">
      <c r="A932" s="2" t="str">
        <f ca="1">IFERROR(__xludf.DUMMYFUNCTION("""COMPUTED_VALUE"""),"JMS INGENIERIA S.A.S")</f>
        <v>JMS INGENIERIA S.A.S</v>
      </c>
    </row>
    <row r="933" spans="1:1" ht="12.75" x14ac:dyDescent="0.2">
      <c r="A933" s="2" t="str">
        <f ca="1">IFERROR(__xludf.DUMMYFUNCTION("""COMPUTED_VALUE"""),"JMS INGENIERIA S.A.S")</f>
        <v>JMS INGENIERIA S.A.S</v>
      </c>
    </row>
    <row r="934" spans="1:1" ht="12.75" x14ac:dyDescent="0.2">
      <c r="A934" s="2" t="str">
        <f ca="1">IFERROR(__xludf.DUMMYFUNCTION("""COMPUTED_VALUE"""),"JMV CONSTRUKTORA SAS")</f>
        <v>JMV CONSTRUKTORA SAS</v>
      </c>
    </row>
    <row r="935" spans="1:1" ht="12.75" x14ac:dyDescent="0.2">
      <c r="A935" s="2" t="str">
        <f ca="1">IFERROR(__xludf.DUMMYFUNCTION("""COMPUTED_VALUE"""),"JONES LANG LASALLE LTDA")</f>
        <v>JONES LANG LASALLE LTDA</v>
      </c>
    </row>
    <row r="936" spans="1:1" ht="12.75" x14ac:dyDescent="0.2">
      <c r="A936" s="2" t="str">
        <f ca="1">IFERROR(__xludf.DUMMYFUNCTION("""COMPUTED_VALUE"""),"JORGE PIDDO SUCURSAL COLOMBIA")</f>
        <v>JORGE PIDDO SUCURSAL COLOMBIA</v>
      </c>
    </row>
    <row r="937" spans="1:1" ht="12.75" x14ac:dyDescent="0.2">
      <c r="A937" s="2" t="str">
        <f ca="1">IFERROR(__xludf.DUMMYFUNCTION("""COMPUTED_VALUE"""),"JOYCO CONSULTORES SAS")</f>
        <v>JOYCO CONSULTORES SAS</v>
      </c>
    </row>
    <row r="938" spans="1:1" ht="12.75" x14ac:dyDescent="0.2">
      <c r="A938" s="2" t="str">
        <f ca="1">IFERROR(__xludf.DUMMYFUNCTION("""COMPUTED_VALUE"""),"JUAN CARLOS LEDESMA")</f>
        <v>JUAN CARLOS LEDESMA</v>
      </c>
    </row>
    <row r="939" spans="1:1" ht="12.75" x14ac:dyDescent="0.2">
      <c r="A939" s="2" t="str">
        <f ca="1">IFERROR(__xludf.DUMMYFUNCTION("""COMPUTED_VALUE"""),"JULIO FLORES")</f>
        <v>JULIO FLORES</v>
      </c>
    </row>
    <row r="940" spans="1:1" ht="76.5" x14ac:dyDescent="0.2">
      <c r="A940" s="2" t="str">
        <f ca="1">IFERROR(__xludf.DUMMYFUNCTION("""COMPUTED_VALUE"""),"JÚnicaL MEDICAL SAS 
ANAVA TRANSPORT SAS 
FUMIGIR LTDA
INVERSIONES Y OPERACIONES COMERCIALES DEL SUR SA
TEMPORALES UNO A")</f>
        <v>JÚnicaL MEDICAL SAS 
ANAVA TRANSPORT SAS 
FUMIGIR LTDA
INVERSIONES Y OPERACIONES COMERCIALES DEL SUR SA
TEMPORALES UNO A</v>
      </c>
    </row>
    <row r="941" spans="1:1" ht="12.75" x14ac:dyDescent="0.2">
      <c r="A941" s="2" t="str">
        <f ca="1">IFERROR(__xludf.DUMMYFUNCTION("""COMPUTED_VALUE"""),"KANTAR IBOPE MEDIA COLOMBIA S.A.S")</f>
        <v>KANTAR IBOPE MEDIA COLOMBIA S.A.S</v>
      </c>
    </row>
    <row r="942" spans="1:1" ht="12.75" x14ac:dyDescent="0.2">
      <c r="A942" s="2" t="str">
        <f ca="1">IFERROR(__xludf.DUMMYFUNCTION("""COMPUTED_VALUE"""),"KOMATSU COLOMBIA SAS")</f>
        <v>KOMATSU COLOMBIA SAS</v>
      </c>
    </row>
    <row r="943" spans="1:1" ht="12.75" x14ac:dyDescent="0.2">
      <c r="A943" s="2" t="str">
        <f ca="1">IFERROR(__xludf.DUMMYFUNCTION("""COMPUTED_VALUE"""),"KRIBA INGENIEROS LTDA")</f>
        <v>KRIBA INGENIEROS LTDA</v>
      </c>
    </row>
    <row r="944" spans="1:1" ht="12.75" x14ac:dyDescent="0.2">
      <c r="A944" s="2" t="str">
        <f ca="1">IFERROR(__xludf.DUMMYFUNCTION("""COMPUTED_VALUE"""),"JAHV MCGREGOR S.A.S")</f>
        <v>JAHV MCGREGOR S.A.S</v>
      </c>
    </row>
    <row r="945" spans="1:1" ht="25.5" x14ac:dyDescent="0.2">
      <c r="A945" s="2" t="str">
        <f ca="1">IFERROR(__xludf.DUMMYFUNCTION("""COMPUTED_VALUE"""),"LA CORPORACION COLOMBIANA DE INVESTIGACION AGROPECUARIA - AGROSAVIA")</f>
        <v>LA CORPORACION COLOMBIANA DE INVESTIGACION AGROPECUARIA - AGROSAVIA</v>
      </c>
    </row>
    <row r="946" spans="1:1" ht="12.75" x14ac:dyDescent="0.2">
      <c r="A946" s="2" t="str">
        <f ca="1">IFERROR(__xludf.DUMMYFUNCTION("""COMPUTED_VALUE"""),"LA PREVISORA S A COMPAÑIA DE SEGURO")</f>
        <v>LA PREVISORA S A COMPAÑIA DE SEGURO</v>
      </c>
    </row>
    <row r="947" spans="1:1" ht="12.75" x14ac:dyDescent="0.2">
      <c r="A947" s="2" t="str">
        <f ca="1">IFERROR(__xludf.DUMMYFUNCTION("""COMPUTED_VALUE"""),"LA PREVISORA SA. COMPAÑIA DE SEGUROS")</f>
        <v>LA PREVISORA SA. COMPAÑIA DE SEGUROS</v>
      </c>
    </row>
    <row r="948" spans="1:1" ht="25.5" x14ac:dyDescent="0.2">
      <c r="A948" s="2" t="str">
        <f ca="1">IFERROR(__xludf.DUMMYFUNCTION("""COMPUTED_VALUE"""),"LA RECETTA SOLUCIONES GASTRONOMICAS INTEGRADAS S A S")</f>
        <v>LA RECETTA SOLUCIONES GASTRONOMICAS INTEGRADAS S A S</v>
      </c>
    </row>
    <row r="949" spans="1:1" ht="25.5" x14ac:dyDescent="0.2">
      <c r="A949" s="2" t="str">
        <f ca="1">IFERROR(__xludf.DUMMYFUNCTION("""COMPUTED_VALUE"""),"LA RECETTA SOLUCIONES GASTRONOMICAS INTEGRADAS S.A.S")</f>
        <v>LA RECETTA SOLUCIONES GASTRONOMICAS INTEGRADAS S.A.S</v>
      </c>
    </row>
    <row r="950" spans="1:1" ht="12.75" x14ac:dyDescent="0.2">
      <c r="A950" s="2" t="str">
        <f ca="1">IFERROR(__xludf.DUMMYFUNCTION("""COMPUTED_VALUE"""),"LABORATORIO UNIDSALUD S.A.S")</f>
        <v>LABORATORIO UNIDSALUD S.A.S</v>
      </c>
    </row>
    <row r="951" spans="1:1" ht="12.75" x14ac:dyDescent="0.2">
      <c r="A951" s="2" t="str">
        <f ca="1">IFERROR(__xludf.DUMMYFUNCTION("""COMPUTED_VALUE"""),"LABORATORIOS DECNO SAS")</f>
        <v>LABORATORIOS DECNO SAS</v>
      </c>
    </row>
    <row r="952" spans="1:1" ht="12.75" x14ac:dyDescent="0.2">
      <c r="A952" s="2" t="str">
        <f ca="1">IFERROR(__xludf.DUMMYFUNCTION("""COMPUTED_VALUE"""),"LABORATORIOS NUTRIPHARMA SAS")</f>
        <v>LABORATORIOS NUTRIPHARMA SAS</v>
      </c>
    </row>
    <row r="953" spans="1:1" ht="12.75" x14ac:dyDescent="0.2">
      <c r="A953" s="2" t="str">
        <f ca="1">IFERROR(__xludf.DUMMYFUNCTION("""COMPUTED_VALUE"""),"LATIN FOOD SOLUTIONS SAS")</f>
        <v>LATIN FOOD SOLUTIONS SAS</v>
      </c>
    </row>
    <row r="954" spans="1:1" ht="12.75" x14ac:dyDescent="0.2">
      <c r="A954" s="2" t="str">
        <f ca="1">IFERROR(__xludf.DUMMYFUNCTION("""COMPUTED_VALUE"""),"LATIR EXPERIENCES S.A.S")</f>
        <v>LATIR EXPERIENCES S.A.S</v>
      </c>
    </row>
    <row r="955" spans="1:1" ht="12.75" x14ac:dyDescent="0.2">
      <c r="A955" s="2" t="str">
        <f ca="1">IFERROR(__xludf.DUMMYFUNCTION("""COMPUTED_VALUE"""),"LAVANSER SAS")</f>
        <v>LAVANSER SAS</v>
      </c>
    </row>
    <row r="956" spans="1:1" ht="12.75" x14ac:dyDescent="0.2">
      <c r="A956" s="2" t="str">
        <f ca="1">IFERROR(__xludf.DUMMYFUNCTION("""COMPUTED_VALUE"""),"LAVANSER SAS")</f>
        <v>LAVANSER SAS</v>
      </c>
    </row>
    <row r="957" spans="1:1" ht="12.75" x14ac:dyDescent="0.2">
      <c r="A957" s="2" t="str">
        <f ca="1">IFERROR(__xludf.DUMMYFUNCTION("""COMPUTED_VALUE"""),"LAVANSER SAS")</f>
        <v>LAVANSER SAS</v>
      </c>
    </row>
    <row r="958" spans="1:1" ht="12.75" x14ac:dyDescent="0.2">
      <c r="A958" s="2" t="str">
        <f ca="1">IFERROR(__xludf.DUMMYFUNCTION("""COMPUTED_VALUE"""),"LA CLAVE EMPRESARIAL SAS")</f>
        <v>LA CLAVE EMPRESARIAL SAS</v>
      </c>
    </row>
    <row r="959" spans="1:1" ht="12.75" x14ac:dyDescent="0.2">
      <c r="A959" s="2" t="str">
        <f ca="1">IFERROR(__xludf.DUMMYFUNCTION("""COMPUTED_VALUE"""),"LAVANSER SAS")</f>
        <v>LAVANSER SAS</v>
      </c>
    </row>
    <row r="960" spans="1:1" ht="12.75" x14ac:dyDescent="0.2">
      <c r="A960" s="2" t="str">
        <f ca="1">IFERROR(__xludf.DUMMYFUNCTION("""COMPUTED_VALUE"""),"LAVANSER SAS- SEDE TOBERIN (ADMINISTRATIVA)")</f>
        <v>LAVANSER SAS- SEDE TOBERIN (ADMINISTRATIVA)</v>
      </c>
    </row>
    <row r="961" spans="1:1" ht="12.75" x14ac:dyDescent="0.2">
      <c r="A961" s="2" t="str">
        <f ca="1">IFERROR(__xludf.DUMMYFUNCTION("""COMPUTED_VALUE"""),"LIMPIEZA INSTITUCIONAL LASU SAS")</f>
        <v>LIMPIEZA INSTITUCIONAL LASU SAS</v>
      </c>
    </row>
    <row r="962" spans="1:1" ht="12.75" x14ac:dyDescent="0.2">
      <c r="A962" s="2" t="str">
        <f ca="1">IFERROR(__xludf.DUMMYFUNCTION("""COMPUTED_VALUE"""),"LINKTIC SAS")</f>
        <v>LINKTIC SAS</v>
      </c>
    </row>
    <row r="963" spans="1:1" ht="12.75" x14ac:dyDescent="0.2">
      <c r="A963" s="2" t="str">
        <f ca="1">IFERROR(__xludf.DUMMYFUNCTION("""COMPUTED_VALUE"""),"LULO BANK S.A")</f>
        <v>LULO BANK S.A</v>
      </c>
    </row>
    <row r="964" spans="1:1" ht="12.75" x14ac:dyDescent="0.2">
      <c r="A964" s="2" t="str">
        <f ca="1">IFERROR(__xludf.DUMMYFUNCTION("""COMPUTED_VALUE"""),"MACRODISTRINUIDORA WILMAR S A S")</f>
        <v>MACRODISTRINUIDORA WILMAR S A S</v>
      </c>
    </row>
    <row r="965" spans="1:1" ht="12.75" x14ac:dyDescent="0.2">
      <c r="A965" s="2" t="str">
        <f ca="1">IFERROR(__xludf.DUMMYFUNCTION("""COMPUTED_VALUE"""),"MAKRO SUPERMAYORISTA SAS")</f>
        <v>MAKRO SUPERMAYORISTA SAS</v>
      </c>
    </row>
    <row r="966" spans="1:1" ht="12.75" x14ac:dyDescent="0.2">
      <c r="A966" s="2" t="str">
        <f ca="1">IFERROR(__xludf.DUMMYFUNCTION("""COMPUTED_VALUE"""),"MAKRO SUPERMAYORISTA SAS - Cajicá")</f>
        <v>MAKRO SUPERMAYORISTA SAS - Cajicá</v>
      </c>
    </row>
    <row r="967" spans="1:1" ht="12.75" x14ac:dyDescent="0.2">
      <c r="A967" s="2" t="str">
        <f ca="1">IFERROR(__xludf.DUMMYFUNCTION("""COMPUTED_VALUE"""),"LANTANIA AGUAS S.L.U SUCURSAL COLOMBIA3,")</f>
        <v>LANTANIA AGUAS S.L.U SUCURSAL COLOMBIA3,</v>
      </c>
    </row>
    <row r="968" spans="1:1" ht="12.75" x14ac:dyDescent="0.2">
      <c r="A968" s="2" t="str">
        <f ca="1">IFERROR(__xludf.DUMMYFUNCTION("""COMPUTED_VALUE"""),"MAKRO SUPERMAYORISTA SAS AV. BOYACA")</f>
        <v>MAKRO SUPERMAYORISTA SAS AV. BOYACA</v>
      </c>
    </row>
    <row r="969" spans="1:1" ht="12.75" x14ac:dyDescent="0.2">
      <c r="A969" s="2" t="str">
        <f ca="1">IFERROR(__xludf.DUMMYFUNCTION("""COMPUTED_VALUE"""),"MAKRO SUPERMAYORISTA SAS AV. BOYACA")</f>
        <v>MAKRO SUPERMAYORISTA SAS AV. BOYACA</v>
      </c>
    </row>
    <row r="970" spans="1:1" ht="12.75" x14ac:dyDescent="0.2">
      <c r="A970" s="2" t="str">
        <f ca="1">IFERROR(__xludf.DUMMYFUNCTION("""COMPUTED_VALUE"""),"LAVANSER SAS")</f>
        <v>LAVANSER SAS</v>
      </c>
    </row>
    <row r="971" spans="1:1" ht="12.75" x14ac:dyDescent="0.2">
      <c r="A971" s="2" t="str">
        <f ca="1">IFERROR(__xludf.DUMMYFUNCTION("""COMPUTED_VALUE"""),"LAVANSER SAS")</f>
        <v>LAVANSER SAS</v>
      </c>
    </row>
    <row r="972" spans="1:1" ht="12.75" x14ac:dyDescent="0.2">
      <c r="A972" s="2" t="str">
        <f ca="1">IFERROR(__xludf.DUMMYFUNCTION("""COMPUTED_VALUE"""),"LAVANSER SAS")</f>
        <v>LAVANSER SAS</v>
      </c>
    </row>
    <row r="973" spans="1:1" ht="12.75" x14ac:dyDescent="0.2">
      <c r="A973" s="2" t="str">
        <f ca="1">IFERROR(__xludf.DUMMYFUNCTION("""COMPUTED_VALUE"""),"LAVANSER SAS")</f>
        <v>LAVANSER SAS</v>
      </c>
    </row>
    <row r="974" spans="1:1" ht="12.75" x14ac:dyDescent="0.2">
      <c r="A974" s="2" t="str">
        <f ca="1">IFERROR(__xludf.DUMMYFUNCTION("""COMPUTED_VALUE"""),"LAVANSER SAS")</f>
        <v>LAVANSER SAS</v>
      </c>
    </row>
    <row r="975" spans="1:1" ht="12.75" x14ac:dyDescent="0.2">
      <c r="A975" s="2" t="str">
        <f ca="1">IFERROR(__xludf.DUMMYFUNCTION("""COMPUTED_VALUE"""),"LAVANSER SAS")</f>
        <v>LAVANSER SAS</v>
      </c>
    </row>
    <row r="976" spans="1:1" ht="12.75" x14ac:dyDescent="0.2">
      <c r="A976" s="2" t="str">
        <f ca="1">IFERROR(__xludf.DUMMYFUNCTION("""COMPUTED_VALUE"""),"LAVANSER SAS")</f>
        <v>LAVANSER SAS</v>
      </c>
    </row>
    <row r="977" spans="1:1" ht="12.75" x14ac:dyDescent="0.2">
      <c r="A977" s="2" t="str">
        <f ca="1">IFERROR(__xludf.DUMMYFUNCTION("""COMPUTED_VALUE"""),"LAVANSER SAS")</f>
        <v>LAVANSER SAS</v>
      </c>
    </row>
    <row r="978" spans="1:1" ht="25.5" x14ac:dyDescent="0.2">
      <c r="A978" s="2" t="str">
        <f ca="1">IFERROR(__xludf.DUMMYFUNCTION("""COMPUTED_VALUE"""),"MAKRO SUPERMAYORISTA SAS PUENTE ARANDA-AMERICAS")</f>
        <v>MAKRO SUPERMAYORISTA SAS PUENTE ARANDA-AMERICAS</v>
      </c>
    </row>
    <row r="979" spans="1:1" ht="25.5" x14ac:dyDescent="0.2">
      <c r="A979" s="2" t="str">
        <f ca="1">IFERROR(__xludf.DUMMYFUNCTION("""COMPUTED_VALUE"""),"MAKRO SUPERMAYORISTA SAS PUENTE ARANDA-AMERICAS")</f>
        <v>MAKRO SUPERMAYORISTA SAS PUENTE ARANDA-AMERICAS</v>
      </c>
    </row>
    <row r="980" spans="1:1" ht="25.5" x14ac:dyDescent="0.2">
      <c r="A980" s="2" t="str">
        <f ca="1">IFERROR(__xludf.DUMMYFUNCTION("""COMPUTED_VALUE"""),"MAKRO SUPERMAYORISTA SAS PUENTE ARANDA-AMERICAS")</f>
        <v>MAKRO SUPERMAYORISTA SAS PUENTE ARANDA-AMERICAS</v>
      </c>
    </row>
    <row r="981" spans="1:1" ht="12.75" x14ac:dyDescent="0.2">
      <c r="A981" s="2" t="str">
        <f ca="1">IFERROR(__xludf.DUMMYFUNCTION("""COMPUTED_VALUE"""),"MAKRO SUPERMAYORISTA SAS- Cumara")</f>
        <v>MAKRO SUPERMAYORISTA SAS- Cumara</v>
      </c>
    </row>
    <row r="982" spans="1:1" ht="12.75" x14ac:dyDescent="0.2">
      <c r="A982" s="2" t="str">
        <f ca="1">IFERROR(__xludf.DUMMYFUNCTION("""COMPUTED_VALUE"""),"MAPFRE REASEGUROS S.A.")</f>
        <v>MAPFRE REASEGUROS S.A.</v>
      </c>
    </row>
    <row r="983" spans="1:1" ht="12.75" x14ac:dyDescent="0.2">
      <c r="A983" s="2" t="str">
        <f ca="1">IFERROR(__xludf.DUMMYFUNCTION("""COMPUTED_VALUE"""),"MAQUINARIA E INFRAESTRUCTURA SAS")</f>
        <v>MAQUINARIA E INFRAESTRUCTURA SAS</v>
      </c>
    </row>
    <row r="984" spans="1:1" ht="12.75" x14ac:dyDescent="0.2">
      <c r="A984" s="2" t="str">
        <f ca="1">IFERROR(__xludf.DUMMYFUNCTION("""COMPUTED_VALUE"""),"MAQUINAS Y GRAMAS LTDA")</f>
        <v>MAQUINAS Y GRAMAS LTDA</v>
      </c>
    </row>
    <row r="985" spans="1:1" ht="12.75" x14ac:dyDescent="0.2">
      <c r="A985" s="2" t="str">
        <f ca="1">IFERROR(__xludf.DUMMYFUNCTION("""COMPUTED_VALUE"""),"MARKET TEAM S.A.")</f>
        <v>MARKET TEAM S.A.</v>
      </c>
    </row>
    <row r="986" spans="1:1" ht="12.75" x14ac:dyDescent="0.2">
      <c r="A986" s="2" t="str">
        <f ca="1">IFERROR(__xludf.DUMMYFUNCTION("""COMPUTED_VALUE"""),"MARZO TRIANGULAR SAS")</f>
        <v>MARZO TRIANGULAR SAS</v>
      </c>
    </row>
    <row r="987" spans="1:1" ht="12.75" x14ac:dyDescent="0.2">
      <c r="A987" s="2" t="str">
        <f ca="1">IFERROR(__xludf.DUMMYFUNCTION("""COMPUTED_VALUE"""),"MATRAKA SAS")</f>
        <v>MATRAKA SAS</v>
      </c>
    </row>
    <row r="988" spans="1:1" ht="12.75" x14ac:dyDescent="0.2">
      <c r="A988" s="2" t="str">
        <f ca="1">IFERROR(__xludf.DUMMYFUNCTION("""COMPUTED_VALUE"""),"MAXIALIMENTOS LTDA")</f>
        <v>MAXIALIMENTOS LTDA</v>
      </c>
    </row>
    <row r="989" spans="1:1" ht="51" x14ac:dyDescent="0.2">
      <c r="A989" s="2" t="str">
        <f ca="1">IFERROR(__xludf.DUMMYFUNCTION("""COMPUTED_VALUE"""),"MC KEAN CONSULTORES SAS
CONSORCIO CALIDAD FOMAG 002-2018
CONSORCIO INTERBogotá001-2017
JAHV MCGREGOR SAS")</f>
        <v>MC KEAN CONSULTORES SAS
CONSORCIO CALIDAD FOMAG 002-2018
CONSORCIO INTERBogotá001-2017
JAHV MCGREGOR SAS</v>
      </c>
    </row>
    <row r="990" spans="1:1" ht="25.5" x14ac:dyDescent="0.2">
      <c r="A990" s="2" t="str">
        <f ca="1">IFERROR(__xludf.DUMMYFUNCTION("""COMPUTED_VALUE"""),"MEALS MERCADEO DE ALIMENTOS DE COLOMBIA S A S")</f>
        <v>MEALS MERCADEO DE ALIMENTOS DE COLOMBIA S A S</v>
      </c>
    </row>
    <row r="991" spans="1:1" ht="12.75" x14ac:dyDescent="0.2">
      <c r="A991" s="2" t="str">
        <f ca="1">IFERROR(__xludf.DUMMYFUNCTION("""COMPUTED_VALUE"""),"MERCADOLIBRE COLOMBIA LTDA")</f>
        <v>MERCADOLIBRE COLOMBIA LTDA</v>
      </c>
    </row>
    <row r="992" spans="1:1" ht="12.75" x14ac:dyDescent="0.2">
      <c r="A992" s="2" t="str">
        <f ca="1">IFERROR(__xludf.DUMMYFUNCTION("""COMPUTED_VALUE"""),"MERIDIAN CONSULTING LTDA")</f>
        <v>MERIDIAN CONSULTING LTDA</v>
      </c>
    </row>
    <row r="993" spans="1:1" ht="12.75" x14ac:dyDescent="0.2">
      <c r="A993" s="2" t="str">
        <f ca="1">IFERROR(__xludf.DUMMYFUNCTION("""COMPUTED_VALUE"""),"MAKRO SUPERMAYORISTA SAS VILLA DEL RIO")</f>
        <v>MAKRO SUPERMAYORISTA SAS VILLA DEL RIO</v>
      </c>
    </row>
    <row r="994" spans="1:1" ht="12.75" x14ac:dyDescent="0.2">
      <c r="A994" s="2" t="str">
        <f ca="1">IFERROR(__xludf.DUMMYFUNCTION("""COMPUTED_VALUE"""),"MAKRO SUPERMAYORISTA SAS VILLA DEL RIO")</f>
        <v>MAKRO SUPERMAYORISTA SAS VILLA DEL RIO</v>
      </c>
    </row>
    <row r="995" spans="1:1" ht="12.75" x14ac:dyDescent="0.2">
      <c r="A995" s="2" t="str">
        <f ca="1">IFERROR(__xludf.DUMMYFUNCTION("""COMPUTED_VALUE"""),"MERSEN COLOMBIA S.A.")</f>
        <v>MERSEN COLOMBIA S.A.</v>
      </c>
    </row>
    <row r="996" spans="1:1" ht="12.75" x14ac:dyDescent="0.2">
      <c r="A996" s="2" t="str">
        <f ca="1">IFERROR(__xludf.DUMMYFUNCTION("""COMPUTED_VALUE"""),"METAL NODUL SAS")</f>
        <v>METAL NODUL SAS</v>
      </c>
    </row>
    <row r="997" spans="1:1" ht="12.75" x14ac:dyDescent="0.2">
      <c r="A997" s="2" t="str">
        <f ca="1">IFERROR(__xludf.DUMMYFUNCTION("""COMPUTED_VALUE"""),"METLIFE COLOMBIA SEGUROS DE VIDA S.A.")</f>
        <v>METLIFE COLOMBIA SEGUROS DE VIDA S.A.</v>
      </c>
    </row>
    <row r="998" spans="1:1" ht="12.75" x14ac:dyDescent="0.2">
      <c r="A998" s="2" t="str">
        <f ca="1">IFERROR(__xludf.DUMMYFUNCTION("""COMPUTED_VALUE"""),"MEYAN S.A")</f>
        <v>MEYAN S.A</v>
      </c>
    </row>
    <row r="999" spans="1:1" ht="12.75" x14ac:dyDescent="0.2">
      <c r="A999" s="2" t="str">
        <f ca="1">IFERROR(__xludf.DUMMYFUNCTION("""COMPUTED_VALUE"""),"MG CONSULTORES S.A.S")</f>
        <v>MG CONSULTORES S.A.S</v>
      </c>
    </row>
    <row r="1000" spans="1:1" ht="25.5" x14ac:dyDescent="0.2">
      <c r="A1000" s="2" t="str">
        <f ca="1">IFERROR(__xludf.DUMMYFUNCTION("""COMPUTED_VALUE"""),"MINISTERIO DE AMBIENTE Y DESARROLLO SOSTENIBLE")</f>
        <v>MINISTERIO DE AMBIENTE Y DESARROLLO SOSTENIBLE</v>
      </c>
    </row>
    <row r="1001" spans="1:1" ht="12.75" x14ac:dyDescent="0.2">
      <c r="A1001" s="2" t="str">
        <f ca="1">IFERROR(__xludf.DUMMYFUNCTION("""COMPUTED_VALUE"""),"MINISTERIO DE MINAS Y ENERGIA")</f>
        <v>MINISTERIO DE MINAS Y ENERGIA</v>
      </c>
    </row>
    <row r="1002" spans="1:1" ht="12.75" x14ac:dyDescent="0.2">
      <c r="A1002" s="2" t="str">
        <f ca="1">IFERROR(__xludf.DUMMYFUNCTION("""COMPUTED_VALUE"""),"MINISTERIO DE VIVIENDA, CIUDAD Y TERRITORIO")</f>
        <v>MINISTERIO DE VIVIENDA, CIUDAD Y TERRITORIO</v>
      </c>
    </row>
    <row r="1003" spans="1:1" ht="12.75" x14ac:dyDescent="0.2">
      <c r="A1003" s="2" t="str">
        <f ca="1">IFERROR(__xludf.DUMMYFUNCTION("""COMPUTED_VALUE"""),"MJPR CONSTRUCCIONES SAS")</f>
        <v>MJPR CONSTRUCCIONES SAS</v>
      </c>
    </row>
    <row r="1004" spans="1:1" ht="12.75" x14ac:dyDescent="0.2">
      <c r="A1004" s="2" t="str">
        <f ca="1">IFERROR(__xludf.DUMMYFUNCTION("""COMPUTED_VALUE"""),"MJPR CONSTRUCCIONES SAS")</f>
        <v>MJPR CONSTRUCCIONES SAS</v>
      </c>
    </row>
    <row r="1005" spans="1:1" ht="12.75" x14ac:dyDescent="0.2">
      <c r="A1005" s="2" t="str">
        <f ca="1">IFERROR(__xludf.DUMMYFUNCTION("""COMPUTED_VALUE"""),"MODERLINE S.A.S.")</f>
        <v>MODERLINE S.A.S.</v>
      </c>
    </row>
    <row r="1006" spans="1:1" ht="12.75" x14ac:dyDescent="0.2">
      <c r="A1006" s="2" t="str">
        <f ca="1">IFERROR(__xludf.DUMMYFUNCTION("""COMPUTED_VALUE"""),"MOLDING SAS MOLDES &amp; INGENIERIA SAS")</f>
        <v>MOLDING SAS MOLDES &amp; INGENIERIA SAS</v>
      </c>
    </row>
    <row r="1007" spans="1:1" ht="12.75" x14ac:dyDescent="0.2">
      <c r="A1007" s="2" t="str">
        <f ca="1">IFERROR(__xludf.DUMMYFUNCTION("""COMPUTED_VALUE"""),"MOUNTAIN FOOD S.A.S")</f>
        <v>MOUNTAIN FOOD S.A.S</v>
      </c>
    </row>
    <row r="1008" spans="1:1" ht="12.75" x14ac:dyDescent="0.2">
      <c r="A1008" s="2" t="str">
        <f ca="1">IFERROR(__xludf.DUMMYFUNCTION("""COMPUTED_VALUE"""),"MOUNTAIN FOOD S.A.S")</f>
        <v>MOUNTAIN FOOD S.A.S</v>
      </c>
    </row>
    <row r="1009" spans="1:1" ht="12.75" x14ac:dyDescent="0.2">
      <c r="A1009" s="2" t="str">
        <f ca="1">IFERROR(__xludf.DUMMYFUNCTION("""COMPUTED_VALUE"""),"MOUNTAIN FOOD S.A.S")</f>
        <v>MOUNTAIN FOOD S.A.S</v>
      </c>
    </row>
    <row r="1010" spans="1:1" ht="12.75" x14ac:dyDescent="0.2">
      <c r="A1010" s="2" t="str">
        <f ca="1">IFERROR(__xludf.DUMMYFUNCTION("""COMPUTED_VALUE"""),"MOUNTAIN FOOD S.A.S")</f>
        <v>MOUNTAIN FOOD S.A.S</v>
      </c>
    </row>
    <row r="1011" spans="1:1" ht="12.75" x14ac:dyDescent="0.2">
      <c r="A1011" s="2" t="str">
        <f ca="1">IFERROR(__xludf.DUMMYFUNCTION("""COMPUTED_VALUE"""),"Mountain Roses SAS")</f>
        <v>Mountain Roses SAS</v>
      </c>
    </row>
    <row r="1012" spans="1:1" ht="12.75" x14ac:dyDescent="0.2">
      <c r="A1012" s="2" t="str">
        <f ca="1">IFERROR(__xludf.DUMMYFUNCTION("""COMPUTED_VALUE"""),"MU TEAM SAS")</f>
        <v>MU TEAM SAS</v>
      </c>
    </row>
    <row r="1013" spans="1:1" ht="12.75" x14ac:dyDescent="0.2">
      <c r="A1013" s="2" t="str">
        <f ca="1">IFERROR(__xludf.DUMMYFUNCTION("""COMPUTED_VALUE"""),"MULTIENLACE SAS")</f>
        <v>MULTIENLACE SAS</v>
      </c>
    </row>
    <row r="1014" spans="1:1" ht="25.5" x14ac:dyDescent="0.2">
      <c r="A1014" s="2" t="str">
        <f ca="1">IFERROR(__xludf.DUMMYFUNCTION("""COMPUTED_VALUE"""),"MÚLTIPLES TECNOLOGÍAS APLICADAS DE COLOMBIA SAS")</f>
        <v>MÚLTIPLES TECNOLOGÍAS APLICADAS DE COLOMBIA SAS</v>
      </c>
    </row>
    <row r="1015" spans="1:1" ht="12.75" x14ac:dyDescent="0.2">
      <c r="A1015" s="2" t="str">
        <f ca="1">IFERROR(__xludf.DUMMYFUNCTION("""COMPUTED_VALUE"""),"MUNICIPIO DE Facatativá")</f>
        <v>MUNICIPIO DE Facatativá</v>
      </c>
    </row>
    <row r="1016" spans="1:1" ht="12.75" x14ac:dyDescent="0.2">
      <c r="A1016" s="2" t="str">
        <f ca="1">IFERROR(__xludf.DUMMYFUNCTION("""COMPUTED_VALUE"""),"MUNICIPIO DE MADRID")</f>
        <v>MUNICIPIO DE MADRID</v>
      </c>
    </row>
    <row r="1017" spans="1:1" ht="12.75" x14ac:dyDescent="0.2">
      <c r="A1017" s="2" t="str">
        <f ca="1">IFERROR(__xludf.DUMMYFUNCTION("""COMPUTED_VALUE"""),"NALSANI SAS")</f>
        <v>NALSANI SAS</v>
      </c>
    </row>
    <row r="1018" spans="1:1" ht="12.75" x14ac:dyDescent="0.2">
      <c r="A1018" s="2" t="str">
        <f ca="1">IFERROR(__xludf.DUMMYFUNCTION("""COMPUTED_VALUE"""),"NALSANI SAS.")</f>
        <v>NALSANI SAS.</v>
      </c>
    </row>
    <row r="1019" spans="1:1" ht="12.75" x14ac:dyDescent="0.2">
      <c r="A1019" s="2" t="str">
        <f ca="1">IFERROR(__xludf.DUMMYFUNCTION("""COMPUTED_VALUE"""),"NALSANI SAS - MOSQUERA")</f>
        <v>NALSANI SAS - MOSQUERA</v>
      </c>
    </row>
    <row r="1020" spans="1:1" ht="25.5" x14ac:dyDescent="0.2">
      <c r="A1020" s="2" t="str">
        <f ca="1">IFERROR(__xludf.DUMMYFUNCTION("""COMPUTED_VALUE"""),"NASES EST, EMPRESA DE SERVICIOS TEMPORALES SAS")</f>
        <v>NASES EST, EMPRESA DE SERVICIOS TEMPORALES SAS</v>
      </c>
    </row>
    <row r="1021" spans="1:1" ht="63.75" x14ac:dyDescent="0.2">
      <c r="A1021" s="2" t="str">
        <f ca="1">IFERROR(__xludf.DUMMYFUNCTION("""COMPUTED_VALUE"""),"NETCOL INGENIERIA S.A.S BIC
INTEEGRA S.A.S. BIC
TRIANGULUM BPO SAS
LOGISTICA EMPRESARIAL DE TRANSPORTE INTEGRAL SAS")</f>
        <v>NETCOL INGENIERIA S.A.S BIC
INTEEGRA S.A.S. BIC
TRIANGULUM BPO SAS
LOGISTICA EMPRESARIAL DE TRANSPORTE INTEGRAL SAS</v>
      </c>
    </row>
    <row r="1022" spans="1:1" ht="12.75" x14ac:dyDescent="0.2">
      <c r="A1022" s="2" t="str">
        <f ca="1">IFERROR(__xludf.DUMMYFUNCTION("""COMPUTED_VALUE"""),"NETCOM WIRELESS SAS")</f>
        <v>NETCOM WIRELESS SAS</v>
      </c>
    </row>
    <row r="1023" spans="1:1" ht="12.75" x14ac:dyDescent="0.2">
      <c r="A1023" s="2" t="str">
        <f ca="1">IFERROR(__xludf.DUMMYFUNCTION("""COMPUTED_VALUE"""),"NIETO VERA S.A. - NIVER S.A")</f>
        <v>NIETO VERA S.A. - NIVER S.A</v>
      </c>
    </row>
    <row r="1024" spans="1:1" ht="12.75" x14ac:dyDescent="0.2">
      <c r="A1024" s="2" t="str">
        <f ca="1">IFERROR(__xludf.DUMMYFUNCTION("""COMPUTED_VALUE"""),"NIÑO CAINA CONSTRUCCIONES SAS")</f>
        <v>NIÑO CAINA CONSTRUCCIONES SAS</v>
      </c>
    </row>
    <row r="1025" spans="1:1" ht="12.75" x14ac:dyDescent="0.2">
      <c r="A1025" s="2" t="str">
        <f ca="1">IFERROR(__xludf.DUMMYFUNCTION("""COMPUTED_VALUE"""),"NOVAMBIENTTI SOLUCIONES AMBIENTALES S.A.S")</f>
        <v>NOVAMBIENTTI SOLUCIONES AMBIENTALES S.A.S</v>
      </c>
    </row>
    <row r="1026" spans="1:1" ht="12.75" x14ac:dyDescent="0.2">
      <c r="A1026" s="2" t="str">
        <f ca="1">IFERROR(__xludf.DUMMYFUNCTION("""COMPUTED_VALUE"""),"NUEVA ERA SOLUCIONES")</f>
        <v>NUEVA ERA SOLUCIONES</v>
      </c>
    </row>
    <row r="1027" spans="1:1" ht="12.75" x14ac:dyDescent="0.2">
      <c r="A1027" s="2" t="str">
        <f ca="1">IFERROR(__xludf.DUMMYFUNCTION("""COMPUTED_VALUE"""),"NUTRISER")</f>
        <v>NUTRISER</v>
      </c>
    </row>
    <row r="1028" spans="1:1" ht="12.75" x14ac:dyDescent="0.2">
      <c r="A1028" s="2" t="str">
        <f ca="1">IFERROR(__xludf.DUMMYFUNCTION("""COMPUTED_VALUE"""),"O3 SMART CITIES S.A.S - B.I.C.")</f>
        <v>O3 SMART CITIES S.A.S - B.I.C.</v>
      </c>
    </row>
    <row r="1029" spans="1:1" ht="12.75" x14ac:dyDescent="0.2">
      <c r="A1029" s="2" t="str">
        <f ca="1">IFERROR(__xludf.DUMMYFUNCTION("""COMPUTED_VALUE"""),"OBCIPOL SAS")</f>
        <v>OBCIPOL SAS</v>
      </c>
    </row>
    <row r="1030" spans="1:1" ht="12.75" x14ac:dyDescent="0.2">
      <c r="A1030" s="2" t="str">
        <f ca="1">IFERROR(__xludf.DUMMYFUNCTION("""COMPUTED_VALUE"""),"MUR PROYECTOS SAS")</f>
        <v>MUR PROYECTOS SAS</v>
      </c>
    </row>
    <row r="1031" spans="1:1" ht="12.75" x14ac:dyDescent="0.2">
      <c r="A1031" s="2" t="str">
        <f ca="1">IFERROR(__xludf.DUMMYFUNCTION("""COMPUTED_VALUE"""),"OBRASCON HUARTE LAIN SA")</f>
        <v>OBRASCON HUARTE LAIN SA</v>
      </c>
    </row>
    <row r="1032" spans="1:1" ht="25.5" x14ac:dyDescent="0.2">
      <c r="A1032" s="2" t="str">
        <f ca="1">IFERROR(__xludf.DUMMYFUNCTION("""COMPUTED_VALUE"""),"OBRASCON HUARTE LAIN SA- Succursal Colombia- Transmilenio")</f>
        <v>OBRASCON HUARTE LAIN SA- Succursal Colombia- Transmilenio</v>
      </c>
    </row>
    <row r="1033" spans="1:1" ht="12.75" x14ac:dyDescent="0.2">
      <c r="A1033" s="2" t="str">
        <f ca="1">IFERROR(__xludf.DUMMYFUNCTION("""COMPUTED_VALUE"""),"OBSERVER MONITORING ON LINE LTDA")</f>
        <v>OBSERVER MONITORING ON LINE LTDA</v>
      </c>
    </row>
    <row r="1034" spans="1:1" ht="12.75" x14ac:dyDescent="0.2">
      <c r="A1034" s="2" t="str">
        <f ca="1">IFERROR(__xludf.DUMMYFUNCTION("""COMPUTED_VALUE"""),"OLIMPIA IT S.A.S")</f>
        <v>OLIMPIA IT S.A.S</v>
      </c>
    </row>
    <row r="1035" spans="1:1" ht="25.5" x14ac:dyDescent="0.2">
      <c r="A1035" s="2" t="str">
        <f ca="1">IFERROR(__xludf.DUMMYFUNCTION("""COMPUTED_VALUE"""),"OPERADOR DISTRITAL DE TRANSPORTE S.A.S (LA ROLITA)")</f>
        <v>OPERADOR DISTRITAL DE TRANSPORTE S.A.S (LA ROLITA)</v>
      </c>
    </row>
    <row r="1036" spans="1:1" ht="25.5" x14ac:dyDescent="0.2">
      <c r="A1036" s="2" t="str">
        <f ca="1">IFERROR(__xludf.DUMMYFUNCTION("""COMPUTED_VALUE"""),"OPERADORA DISTRITAL DE TRANSPORTE S.A.S.
(La Rolita).")</f>
        <v>OPERADORA DISTRITAL DE TRANSPORTE S.A.S.
(La Rolita).</v>
      </c>
    </row>
    <row r="1037" spans="1:1" ht="12.75" x14ac:dyDescent="0.2">
      <c r="A1037" s="2" t="str">
        <f ca="1">IFERROR(__xludf.DUMMYFUNCTION("""COMPUTED_VALUE"""),"NIKKEN COLOMBIA LTDA")</f>
        <v>NIKKEN COLOMBIA LTDA</v>
      </c>
    </row>
    <row r="1038" spans="1:1" ht="12.75" x14ac:dyDescent="0.2">
      <c r="A1038" s="2" t="str">
        <f ca="1">IFERROR(__xludf.DUMMYFUNCTION("""COMPUTED_VALUE"""),"OPERATIVE RESEARCH SAS")</f>
        <v>OPERATIVE RESEARCH SAS</v>
      </c>
    </row>
    <row r="1039" spans="1:1" ht="12.75" x14ac:dyDescent="0.2">
      <c r="A1039" s="2" t="str">
        <f ca="1">IFERROR(__xludf.DUMMYFUNCTION("""COMPUTED_VALUE"""),"OPPERAR COLOMBIA SAS")</f>
        <v>OPPERAR COLOMBIA SAS</v>
      </c>
    </row>
    <row r="1040" spans="1:1" ht="12.75" x14ac:dyDescent="0.2">
      <c r="A1040" s="2" t="str">
        <f ca="1">IFERROR(__xludf.DUMMYFUNCTION("""COMPUTED_VALUE"""),"ORCA CONSTRUCTORA COLOMBIA SAS")</f>
        <v>ORCA CONSTRUCTORA COLOMBIA SAS</v>
      </c>
    </row>
    <row r="1041" spans="1:1" ht="25.5" x14ac:dyDescent="0.2">
      <c r="A1041" s="2" t="str">
        <f ca="1">IFERROR(__xludf.DUMMYFUNCTION("""COMPUTED_VALUE"""),"ORGANIZACION VICAN SAS 
VICTOR ARBOLEDA CORDOBA")</f>
        <v>ORGANIZACION VICAN SAS 
VICTOR ARBOLEDA CORDOBA</v>
      </c>
    </row>
    <row r="1042" spans="1:1" ht="12.75" x14ac:dyDescent="0.2">
      <c r="A1042" s="2" t="str">
        <f ca="1">IFERROR(__xludf.DUMMYFUNCTION("""COMPUTED_VALUE"""),"ORTOPÉDICOS FUTURO COLOMBIA SAS")</f>
        <v>ORTOPÉDICOS FUTURO COLOMBIA SAS</v>
      </c>
    </row>
    <row r="1043" spans="1:1" ht="12.75" x14ac:dyDescent="0.2">
      <c r="A1043" s="2" t="str">
        <f ca="1">IFERROR(__xludf.DUMMYFUNCTION("""COMPUTED_VALUE"""),"OUTSOURCING S.A.S")</f>
        <v>OUTSOURCING S.A.S</v>
      </c>
    </row>
    <row r="1044" spans="1:1" ht="12.75" x14ac:dyDescent="0.2">
      <c r="A1044" s="2" t="str">
        <f ca="1">IFERROR(__xludf.DUMMYFUNCTION("""COMPUTED_VALUE"""),"OVAL CONSULTORIA GERENCIAL S.A.S.")</f>
        <v>OVAL CONSULTORIA GERENCIAL S.A.S.</v>
      </c>
    </row>
    <row r="1045" spans="1:1" ht="12.75" x14ac:dyDescent="0.2">
      <c r="A1045" s="2" t="str">
        <f ca="1">IFERROR(__xludf.DUMMYFUNCTION("""COMPUTED_VALUE"""),"OVM INDUSTRIAL SAS")</f>
        <v>OVM INDUSTRIAL SAS</v>
      </c>
    </row>
    <row r="1046" spans="1:1" ht="12.75" x14ac:dyDescent="0.2">
      <c r="A1046" s="2" t="str">
        <f ca="1">IFERROR(__xludf.DUMMYFUNCTION("""COMPUTED_VALUE"""),"PACTO DE PRODUCTIVIDAD - FUNDACION CORONA")</f>
        <v>PACTO DE PRODUCTIVIDAD - FUNDACION CORONA</v>
      </c>
    </row>
    <row r="1047" spans="1:1" ht="12.75" x14ac:dyDescent="0.2">
      <c r="A1047" s="2" t="str">
        <f ca="1">IFERROR(__xludf.DUMMYFUNCTION("""COMPUTED_VALUE"""),"PARTNERS OF THE AMERICAS")</f>
        <v>PARTNERS OF THE AMERICAS</v>
      </c>
    </row>
    <row r="1048" spans="1:1" ht="12.75" x14ac:dyDescent="0.2">
      <c r="A1048" s="2" t="str">
        <f ca="1">IFERROR(__xludf.DUMMYFUNCTION("""COMPUTED_VALUE"""),"OLIMPIA IT SAS")</f>
        <v>OLIMPIA IT SAS</v>
      </c>
    </row>
    <row r="1049" spans="1:1" ht="12.75" x14ac:dyDescent="0.2">
      <c r="A1049" s="2" t="str">
        <f ca="1">IFERROR(__xludf.DUMMYFUNCTION("""COMPUTED_VALUE"""),"PARTNERS TELECOM COLOMBIA SAS")</f>
        <v>PARTNERS TELECOM COLOMBIA SAS</v>
      </c>
    </row>
    <row r="1050" spans="1:1" ht="12.75" x14ac:dyDescent="0.2">
      <c r="A1050" s="2" t="str">
        <f ca="1">IFERROR(__xludf.DUMMYFUNCTION("""COMPUTED_VALUE"""),"PATRIA RODOVÍAS COLOMBIA S.A.S")</f>
        <v>PATRIA RODOVÍAS COLOMBIA S.A.S</v>
      </c>
    </row>
    <row r="1051" spans="1:1" ht="12.75" x14ac:dyDescent="0.2">
      <c r="A1051" s="2" t="str">
        <f ca="1">IFERROR(__xludf.DUMMYFUNCTION("""COMPUTED_VALUE"""),"PDC VINOS Y LICORES SAS")</f>
        <v>PDC VINOS Y LICORES SAS</v>
      </c>
    </row>
    <row r="1052" spans="1:1" ht="12.75" x14ac:dyDescent="0.2">
      <c r="A1052" s="2" t="str">
        <f ca="1">IFERROR(__xludf.DUMMYFUNCTION("""COMPUTED_VALUE"""),"PEAR SOLUTIONS SAS")</f>
        <v>PEAR SOLUTIONS SAS</v>
      </c>
    </row>
    <row r="1053" spans="1:1" ht="12.75" x14ac:dyDescent="0.2">
      <c r="A1053" s="2" t="str">
        <f ca="1">IFERROR(__xludf.DUMMYFUNCTION("""COMPUTED_VALUE"""),"PERMODA LTDA")</f>
        <v>PERMODA LTDA</v>
      </c>
    </row>
    <row r="1054" spans="1:1" ht="12.75" x14ac:dyDescent="0.2">
      <c r="A1054" s="2" t="str">
        <f ca="1">IFERROR(__xludf.DUMMYFUNCTION("""COMPUTED_VALUE"""),"PETROSEISMIC SERVICES SAS")</f>
        <v>PETROSEISMIC SERVICES SAS</v>
      </c>
    </row>
    <row r="1055" spans="1:1" ht="12.75" x14ac:dyDescent="0.2">
      <c r="A1055" s="2" t="str">
        <f ca="1">IFERROR(__xludf.DUMMYFUNCTION("""COMPUTED_VALUE"""),"PLANETA, PROYECTOS Y OBRAS SAS")</f>
        <v>PLANETA, PROYECTOS Y OBRAS SAS</v>
      </c>
    </row>
    <row r="1056" spans="1:1" ht="12.75" x14ac:dyDescent="0.2">
      <c r="A1056" s="2" t="str">
        <f ca="1">IFERROR(__xludf.DUMMYFUNCTION("""COMPUTED_VALUE"""),"PLANTADOR COLOMBIA S A S")</f>
        <v>PLANTADOR COLOMBIA S A S</v>
      </c>
    </row>
    <row r="1057" spans="1:1" ht="12.75" x14ac:dyDescent="0.2">
      <c r="A1057" s="2" t="str">
        <f ca="1">IFERROR(__xludf.DUMMYFUNCTION("""COMPUTED_VALUE"""),"PM&amp;F FISHING OIL SERVICES S.A.")</f>
        <v>PM&amp;F FISHING OIL SERVICES S.A.</v>
      </c>
    </row>
    <row r="1058" spans="1:1" ht="12.75" x14ac:dyDescent="0.2">
      <c r="A1058" s="2" t="str">
        <f ca="1">IFERROR(__xludf.DUMMYFUNCTION("""COMPUTED_VALUE"""),"POLLO FIESTA S A")</f>
        <v>POLLO FIESTA S A</v>
      </c>
    </row>
    <row r="1059" spans="1:1" ht="12.75" x14ac:dyDescent="0.2">
      <c r="A1059" s="2" t="str">
        <f ca="1">IFERROR(__xludf.DUMMYFUNCTION("""COMPUTED_VALUE"""),"PRIME ENERGIA COLOMBIA SAS")</f>
        <v>PRIME ENERGIA COLOMBIA SAS</v>
      </c>
    </row>
    <row r="1060" spans="1:1" ht="12.75" x14ac:dyDescent="0.2">
      <c r="A1060" s="2" t="str">
        <f ca="1">IFERROR(__xludf.DUMMYFUNCTION("""COMPUTED_VALUE"""),"PRODUCCIÓN DE EVENTO 911 S.A.S.")</f>
        <v>PRODUCCIÓN DE EVENTO 911 S.A.S.</v>
      </c>
    </row>
    <row r="1061" spans="1:1" ht="12.75" x14ac:dyDescent="0.2">
      <c r="A1061" s="2" t="str">
        <f ca="1">IFERROR(__xludf.DUMMYFUNCTION("""COMPUTED_VALUE"""),"PRODUCCION DE EVENTOS 911 S.A.S")</f>
        <v>PRODUCCION DE EVENTOS 911 S.A.S</v>
      </c>
    </row>
    <row r="1062" spans="1:1" ht="12.75" x14ac:dyDescent="0.2">
      <c r="A1062" s="2" t="str">
        <f ca="1">IFERROR(__xludf.DUMMYFUNCTION("""COMPUTED_VALUE"""),"PRODUCCIÓN DE EVENTOS 911 SAS")</f>
        <v>PRODUCCIÓN DE EVENTOS 911 SAS</v>
      </c>
    </row>
    <row r="1063" spans="1:1" ht="12.75" x14ac:dyDescent="0.2">
      <c r="A1063" s="2" t="str">
        <f ca="1">IFERROR(__xludf.DUMMYFUNCTION("""COMPUTED_VALUE"""),"PRODUCTOS RAMO SAS")</f>
        <v>PRODUCTOS RAMO SAS</v>
      </c>
    </row>
    <row r="1064" spans="1:1" ht="12.75" x14ac:dyDescent="0.2">
      <c r="A1064" s="2" t="str">
        <f ca="1">IFERROR(__xludf.DUMMYFUNCTION("""COMPUTED_VALUE"""),"PRODUCTOS RAMO SAS")</f>
        <v>PRODUCTOS RAMO SAS</v>
      </c>
    </row>
    <row r="1065" spans="1:1" ht="12.75" x14ac:dyDescent="0.2">
      <c r="A1065" s="2" t="str">
        <f ca="1">IFERROR(__xludf.DUMMYFUNCTION("""COMPUTED_VALUE"""),"PROGRESO Y PROYECTOS S.A.S.")</f>
        <v>PROGRESO Y PROYECTOS S.A.S.</v>
      </c>
    </row>
    <row r="1066" spans="1:1" ht="12.75" x14ac:dyDescent="0.2">
      <c r="A1066" s="2" t="str">
        <f ca="1">IFERROR(__xludf.DUMMYFUNCTION("""COMPUTED_VALUE"""),"PROMCIVILES S.A.S")</f>
        <v>PROMCIVILES S.A.S</v>
      </c>
    </row>
    <row r="1067" spans="1:1" ht="12.75" x14ac:dyDescent="0.2">
      <c r="A1067" s="2" t="str">
        <f ca="1">IFERROR(__xludf.DUMMYFUNCTION("""COMPUTED_VALUE"""),"PROES INGENIERIA SAS")</f>
        <v>PROES INGENIERIA SAS</v>
      </c>
    </row>
    <row r="1068" spans="1:1" ht="12.75" x14ac:dyDescent="0.2">
      <c r="A1068" s="2" t="str">
        <f ca="1">IFERROR(__xludf.DUMMYFUNCTION("""COMPUTED_VALUE"""),"PROMOTORA PUGA LTDA")</f>
        <v>PROMOTORA PUGA LTDA</v>
      </c>
    </row>
    <row r="1069" spans="1:1" ht="12.75" x14ac:dyDescent="0.2">
      <c r="A1069" s="2" t="str">
        <f ca="1">IFERROR(__xludf.DUMMYFUNCTION("""COMPUTED_VALUE"""),"PROMOTORA VALORES SAS")</f>
        <v>PROMOTORA VALORES SAS</v>
      </c>
    </row>
    <row r="1070" spans="1:1" ht="12.75" x14ac:dyDescent="0.2">
      <c r="A1070" s="2" t="str">
        <f ca="1">IFERROR(__xludf.DUMMYFUNCTION("""COMPUTED_VALUE"""),"PROTELCA INGENIEROS ARQUITECTOS SAS")</f>
        <v>PROTELCA INGENIEROS ARQUITECTOS SAS</v>
      </c>
    </row>
    <row r="1071" spans="1:1" ht="12.75" x14ac:dyDescent="0.2">
      <c r="A1071" s="2" t="str">
        <f ca="1">IFERROR(__xludf.DUMMYFUNCTION("""COMPUTED_VALUE"""),"PROTISA COLOMBIA S.A.- SEDE BOGOTÁ")</f>
        <v>PROTISA COLOMBIA S.A.- SEDE BOGOTÁ</v>
      </c>
    </row>
    <row r="1072" spans="1:1" ht="12.75" x14ac:dyDescent="0.2">
      <c r="A1072" s="2" t="str">
        <f ca="1">IFERROR(__xludf.DUMMYFUNCTION("""COMPUTED_VALUE"""),"PROTISA COLOMBIA S.A.- SEDE GACHANCIPÁ")</f>
        <v>PROTISA COLOMBIA S.A.- SEDE GACHANCIPÁ</v>
      </c>
    </row>
    <row r="1073" spans="1:1" ht="12.75" x14ac:dyDescent="0.2">
      <c r="A1073" s="2" t="str">
        <f ca="1">IFERROR(__xludf.DUMMYFUNCTION("""COMPUTED_VALUE"""),"PROVEEXPRESS SAS")</f>
        <v>PROVEEXPRESS SAS</v>
      </c>
    </row>
    <row r="1074" spans="1:1" ht="12.75" x14ac:dyDescent="0.2">
      <c r="A1074" s="2" t="str">
        <f ca="1">IFERROR(__xludf.DUMMYFUNCTION("""COMPUTED_VALUE"""),"PROVISER LTDA")</f>
        <v>PROVISER LTDA</v>
      </c>
    </row>
    <row r="1075" spans="1:1" ht="25.5" x14ac:dyDescent="0.2">
      <c r="A1075" s="2" t="str">
        <f ca="1">IFERROR(__xludf.DUMMYFUNCTION("""COMPUTED_VALUE"""),"PUBLICIS GROUPE MMS COMÚCACIONES COLOMBIA SAS")</f>
        <v>PUBLICIS GROUPE MMS COMÚCACIONES COLOMBIA SAS</v>
      </c>
    </row>
    <row r="1076" spans="1:1" ht="12.75" x14ac:dyDescent="0.2">
      <c r="A1076" s="2" t="str">
        <f ca="1">IFERROR(__xludf.DUMMYFUNCTION("""COMPUTED_VALUE"""),"PULPA FRUIT SAS")</f>
        <v>PULPA FRUIT SAS</v>
      </c>
    </row>
    <row r="1077" spans="1:1" ht="12.75" x14ac:dyDescent="0.2">
      <c r="A1077" s="2" t="str">
        <f ca="1">IFERROR(__xludf.DUMMYFUNCTION("""COMPUTED_VALUE"""),"PROFIT BANCA DE INVERSION SAS")</f>
        <v>PROFIT BANCA DE INVERSION SAS</v>
      </c>
    </row>
    <row r="1078" spans="1:1" ht="12.75" x14ac:dyDescent="0.2">
      <c r="A1078" s="2" t="str">
        <f ca="1">IFERROR(__xludf.DUMMYFUNCTION("""COMPUTED_VALUE"""),"PYRAMID CONSULTING GROUP S.A.S")</f>
        <v>PYRAMID CONSULTING GROUP S.A.S</v>
      </c>
    </row>
    <row r="1079" spans="1:1" ht="12.75" x14ac:dyDescent="0.2">
      <c r="A1079" s="2" t="str">
        <f ca="1">IFERROR(__xludf.DUMMYFUNCTION("""COMPUTED_VALUE"""),"PYRAMID CONSULTING GROUP S.A.S")</f>
        <v>PYRAMID CONSULTING GROUP S.A.S</v>
      </c>
    </row>
    <row r="1080" spans="1:1" ht="12.75" x14ac:dyDescent="0.2">
      <c r="A1080" s="2" t="str">
        <f ca="1">IFERROR(__xludf.DUMMYFUNCTION("""COMPUTED_VALUE"""),"Q-TECH S.A.S")</f>
        <v>Q-TECH S.A.S</v>
      </c>
    </row>
    <row r="1081" spans="1:1" ht="12.75" x14ac:dyDescent="0.2">
      <c r="A1081" s="2" t="str">
        <f ca="1">IFERROR(__xludf.DUMMYFUNCTION("""COMPUTED_VALUE"""),"QUARZO CONSTRUCCIONES S.A.S")</f>
        <v>QUARZO CONSTRUCCIONES S.A.S</v>
      </c>
    </row>
    <row r="1082" spans="1:1" ht="12.75" x14ac:dyDescent="0.2">
      <c r="A1082" s="2" t="str">
        <f ca="1">IFERROR(__xludf.DUMMYFUNCTION("""COMPUTED_VALUE"""),"R &amp; Q INGENIERIA COLOMBIA S.A.")</f>
        <v>R &amp; Q INGENIERIA COLOMBIA S.A.</v>
      </c>
    </row>
    <row r="1083" spans="1:1" ht="12.75" x14ac:dyDescent="0.2">
      <c r="A1083" s="2" t="str">
        <f ca="1">IFERROR(__xludf.DUMMYFUNCTION("""COMPUTED_VALUE"""),"RAFAEL POVEDA TELEVISIÓN A.H.S")</f>
        <v>RAFAEL POVEDA TELEVISIÓN A.H.S</v>
      </c>
    </row>
    <row r="1084" spans="1:1" ht="12.75" x14ac:dyDescent="0.2">
      <c r="A1084" s="2" t="str">
        <f ca="1">IFERROR(__xludf.DUMMYFUNCTION("""COMPUTED_VALUE"""),"REDASISTENCIA COLOMBIA SAS")</f>
        <v>REDASISTENCIA COLOMBIA SAS</v>
      </c>
    </row>
    <row r="1085" spans="1:1" ht="12.75" x14ac:dyDescent="0.2">
      <c r="A1085" s="2" t="str">
        <f ca="1">IFERROR(__xludf.DUMMYFUNCTION("""COMPUTED_VALUE"""),"REDCOMPUTO LIMITADA")</f>
        <v>REDCOMPUTO LIMITADA</v>
      </c>
    </row>
    <row r="1086" spans="1:1" ht="25.5" x14ac:dyDescent="0.2">
      <c r="A1086" s="2" t="str">
        <f ca="1">IFERROR(__xludf.DUMMYFUNCTION("""COMPUTED_VALUE"""),"REDES Y EDIFICACIONES S A QUE PODRA ABREVIARSE COMO R&amp;E SA")</f>
        <v>REDES Y EDIFICACIONES S A QUE PODRA ABREVIARSE COMO R&amp;E SA</v>
      </c>
    </row>
    <row r="1087" spans="1:1" ht="12.75" x14ac:dyDescent="0.2">
      <c r="A1087" s="2" t="str">
        <f ca="1">IFERROR(__xludf.DUMMYFUNCTION("""COMPUTED_VALUE"""),"REPRESENTACIONES D JESCA SAS")</f>
        <v>REPRESENTACIONES D JESCA SAS</v>
      </c>
    </row>
    <row r="1088" spans="1:1" ht="12.75" x14ac:dyDescent="0.2">
      <c r="A1088" s="2" t="str">
        <f ca="1">IFERROR(__xludf.DUMMYFUNCTION("""COMPUTED_VALUE"""),"ASISTENCIAS RESPALDAR LTDA")</f>
        <v>ASISTENCIAS RESPALDAR LTDA</v>
      </c>
    </row>
    <row r="1089" spans="1:1" ht="12.75" x14ac:dyDescent="0.2">
      <c r="A1089" s="2" t="str">
        <f ca="1">IFERROR(__xludf.DUMMYFUNCTION("""COMPUTED_VALUE"""),"RG ARQUITECTOS E INGENIEROS SAS")</f>
        <v>RG ARQUITECTOS E INGENIEROS SAS</v>
      </c>
    </row>
    <row r="1090" spans="1:1" ht="12.75" x14ac:dyDescent="0.2">
      <c r="A1090" s="2" t="str">
        <f ca="1">IFERROR(__xludf.DUMMYFUNCTION("""COMPUTED_VALUE"""),"SAC SEGURIDAD AUTOMATIZACION Y CONTROL SAS")</f>
        <v>SAC SEGURIDAD AUTOMATIZACION Y CONTROL SAS</v>
      </c>
    </row>
    <row r="1091" spans="1:1" ht="12.75" x14ac:dyDescent="0.2">
      <c r="A1091" s="2" t="str">
        <f ca="1">IFERROR(__xludf.DUMMYFUNCTION("""COMPUTED_VALUE"""),"SACYR CONCESIONES COLOMBIA SAS")</f>
        <v>SACYR CONCESIONES COLOMBIA SAS</v>
      </c>
    </row>
    <row r="1092" spans="1:1" ht="12.75" x14ac:dyDescent="0.2">
      <c r="A1092" s="2" t="str">
        <f ca="1">IFERROR(__xludf.DUMMYFUNCTION("""COMPUTED_VALUE"""),"SAP COLOMBIA SAS")</f>
        <v>SAP COLOMBIA SAS</v>
      </c>
    </row>
    <row r="1093" spans="1:1" ht="38.25" x14ac:dyDescent="0.2">
      <c r="A1093" s="2" t="str">
        <f ca="1">IFERROR(__xludf.DUMMYFUNCTION("""COMPUTED_VALUE"""),"SCAIN ADMINISTRACION E INGENIERIA SAS /
 SILVA CARREÑO ADMINISTRACION E INGENIERIA SAS")</f>
        <v>SCAIN ADMINISTRACION E INGENIERIA SAS /
 SILVA CARREÑO ADMINISTRACION E INGENIERIA SAS</v>
      </c>
    </row>
    <row r="1094" spans="1:1" ht="12.75" x14ac:dyDescent="0.2">
      <c r="A1094" s="2" t="str">
        <f ca="1">IFERROR(__xludf.DUMMYFUNCTION("""COMPUTED_VALUE"""),"SCALA ASCENSORES SAS")</f>
        <v>SCALA ASCENSORES SAS</v>
      </c>
    </row>
    <row r="1095" spans="1:1" ht="12.75" x14ac:dyDescent="0.2">
      <c r="A1095" s="2" t="str">
        <f ca="1">IFERROR(__xludf.DUMMYFUNCTION("""COMPUTED_VALUE"""),"REDNEET SAS")</f>
        <v>REDNEET SAS</v>
      </c>
    </row>
    <row r="1096" spans="1:1" ht="12.75" x14ac:dyDescent="0.2">
      <c r="A1096" s="2" t="str">
        <f ca="1">IFERROR(__xludf.DUMMYFUNCTION("""COMPUTED_VALUE"""),"SECURITAS COLOMBIA SA")</f>
        <v>SECURITAS COLOMBIA SA</v>
      </c>
    </row>
    <row r="1097" spans="1:1" ht="12.75" x14ac:dyDescent="0.2">
      <c r="A1097" s="2" t="str">
        <f ca="1">IFERROR(__xludf.DUMMYFUNCTION("""COMPUTED_VALUE"""),"SEFARCOL PRODUCTOS Y SERVICIOS S.A")</f>
        <v>SEFARCOL PRODUCTOS Y SERVICIOS S.A</v>
      </c>
    </row>
    <row r="1098" spans="1:1" ht="12.75" x14ac:dyDescent="0.2">
      <c r="A1098" s="2" t="str">
        <f ca="1">IFERROR(__xludf.DUMMYFUNCTION("""COMPUTED_VALUE"""),"RG ARQUITECTOS E INGENIEROS SAS")</f>
        <v>RG ARQUITECTOS E INGENIEROS SAS</v>
      </c>
    </row>
    <row r="1099" spans="1:1" ht="12.75" x14ac:dyDescent="0.2">
      <c r="A1099" s="2" t="str">
        <f ca="1">IFERROR(__xludf.DUMMYFUNCTION("""COMPUTED_VALUE"""),"SEGURIDAD ARARAT LTDA")</f>
        <v>SEGURIDAD ARARAT LTDA</v>
      </c>
    </row>
    <row r="1100" spans="1:1" ht="25.5" x14ac:dyDescent="0.2">
      <c r="A1100" s="2" t="str">
        <f ca="1">IFERROR(__xludf.DUMMYFUNCTION("""COMPUTED_VALUE"""),"SEGURIDAD EL PENTAGONO COLOMBIANO LIMITADA SEPECOL LTDA")</f>
        <v>SEGURIDAD EL PENTAGONO COLOMBIANO LIMITADA SEPECOL LTDA</v>
      </c>
    </row>
    <row r="1101" spans="1:1" ht="12.75" x14ac:dyDescent="0.2">
      <c r="A1101" s="2" t="str">
        <f ca="1">IFERROR(__xludf.DUMMYFUNCTION("""COMPUTED_VALUE"""),"SEGURIDAD ELIAR LTDA")</f>
        <v>SEGURIDAD ELIAR LTDA</v>
      </c>
    </row>
    <row r="1102" spans="1:1" ht="12.75" x14ac:dyDescent="0.2">
      <c r="A1102" s="2" t="str">
        <f ca="1">IFERROR(__xludf.DUMMYFUNCTION("""COMPUTED_VALUE"""),"SEGURIDAD OCCIDENTE LTDA")</f>
        <v>SEGURIDAD OCCIDENTE LTDA</v>
      </c>
    </row>
    <row r="1103" spans="1:1" ht="12.75" x14ac:dyDescent="0.2">
      <c r="A1103" s="2" t="str">
        <f ca="1">IFERROR(__xludf.DUMMYFUNCTION("""COMPUTED_VALUE"""),"SEGURIDAD SCANNER LTDA.")</f>
        <v>SEGURIDAD SCANNER LTDA.</v>
      </c>
    </row>
    <row r="1104" spans="1:1" ht="12.75" x14ac:dyDescent="0.2">
      <c r="A1104" s="2" t="str">
        <f ca="1">IFERROR(__xludf.DUMMYFUNCTION("""COMPUTED_VALUE"""),"SEGURIDAD SUPER LTDA")</f>
        <v>SEGURIDAD SUPER LTDA</v>
      </c>
    </row>
    <row r="1105" spans="1:1" ht="12.75" x14ac:dyDescent="0.2">
      <c r="A1105" s="2" t="str">
        <f ca="1">IFERROR(__xludf.DUMMYFUNCTION("""COMPUTED_VALUE"""),"SEGURIDAD SUPER LTDA.")</f>
        <v>SEGURIDAD SUPER LTDA.</v>
      </c>
    </row>
    <row r="1106" spans="1:1" ht="12.75" x14ac:dyDescent="0.2">
      <c r="A1106" s="2" t="str">
        <f ca="1">IFERROR(__xludf.DUMMYFUNCTION("""COMPUTED_VALUE"""),"SEGURIDAD SUPERIOR LTDA")</f>
        <v>SEGURIDAD SUPERIOR LTDA</v>
      </c>
    </row>
    <row r="1107" spans="1:1" ht="12.75" x14ac:dyDescent="0.2">
      <c r="A1107" s="2" t="str">
        <f ca="1">IFERROR(__xludf.DUMMYFUNCTION("""COMPUTED_VALUE"""),"SEGURIDAD THOR LTDA")</f>
        <v>SEGURIDAD THOR LTDA</v>
      </c>
    </row>
    <row r="1108" spans="1:1" ht="25.5" x14ac:dyDescent="0.2">
      <c r="A1108" s="2" t="str">
        <f ca="1">IFERROR(__xludf.DUMMYFUNCTION("""COMPUTED_VALUE"""),"Seguridad y Salud Ocupacional Consultoría SAS IPS - SYSO CONSULTORÍA SAS IPS")</f>
        <v>Seguridad y Salud Ocupacional Consultoría SAS IPS - SYSO CONSULTORÍA SAS IPS</v>
      </c>
    </row>
    <row r="1109" spans="1:1" ht="12.75" x14ac:dyDescent="0.2">
      <c r="A1109" s="2" t="str">
        <f ca="1">IFERROR(__xludf.DUMMYFUNCTION("""COMPUTED_VALUE"""),"SEGURIDAD EL PROGRESO LTDA")</f>
        <v>SEGURIDAD EL PROGRESO LTDA</v>
      </c>
    </row>
    <row r="1110" spans="1:1" ht="12.75" x14ac:dyDescent="0.2">
      <c r="A1110" s="2" t="str">
        <f ca="1">IFERROR(__xludf.DUMMYFUNCTION("""COMPUTED_VALUE"""),"SEGURITECH COLOMBIA SAS")</f>
        <v>SEGURITECH COLOMBIA SAS</v>
      </c>
    </row>
    <row r="1111" spans="1:1" ht="12.75" x14ac:dyDescent="0.2">
      <c r="A1111" s="2" t="str">
        <f ca="1">IFERROR(__xludf.DUMMYFUNCTION("""COMPUTED_VALUE"""),"SELCOMP INGENIERIA SAS")</f>
        <v>SELCOMP INGENIERIA SAS</v>
      </c>
    </row>
    <row r="1112" spans="1:1" ht="12.75" x14ac:dyDescent="0.2">
      <c r="A1112" s="2" t="str">
        <f ca="1">IFERROR(__xludf.DUMMYFUNCTION("""COMPUTED_VALUE"""),"SELLING SAS")</f>
        <v>SELLING SAS</v>
      </c>
    </row>
    <row r="1113" spans="1:1" ht="12.75" x14ac:dyDescent="0.2">
      <c r="A1113" s="2" t="str">
        <f ca="1">IFERROR(__xludf.DUMMYFUNCTION("""COMPUTED_VALUE"""),"Sergio Gonzalez y Cia Ltda - Sergo Ltda")</f>
        <v>Sergio Gonzalez y Cia Ltda - Sergo Ltda</v>
      </c>
    </row>
    <row r="1114" spans="1:1" ht="12.75" x14ac:dyDescent="0.2">
      <c r="A1114" s="2" t="str">
        <f ca="1">IFERROR(__xludf.DUMMYFUNCTION("""COMPUTED_VALUE"""),"SERVICANES DE COLOMBIA LTDA")</f>
        <v>SERVICANES DE COLOMBIA LTDA</v>
      </c>
    </row>
    <row r="1115" spans="1:1" ht="25.5" x14ac:dyDescent="0.2">
      <c r="A1115" s="2" t="str">
        <f ca="1">IFERROR(__xludf.DUMMYFUNCTION("""COMPUTED_VALUE"""),"SERVICIO AÉREO A TERRITORIOS NACIONALES S.A SATENA")</f>
        <v>SERVICIO AÉREO A TERRITORIOS NACIONALES S.A SATENA</v>
      </c>
    </row>
    <row r="1116" spans="1:1" ht="12.75" x14ac:dyDescent="0.2">
      <c r="A1116" s="2" t="str">
        <f ca="1">IFERROR(__xludf.DUMMYFUNCTION("""COMPUTED_VALUE"""),"SERVICIO GEOLÓGICO COLOMBIANO")</f>
        <v>SERVICIO GEOLÓGICO COLOMBIANO</v>
      </c>
    </row>
    <row r="1117" spans="1:1" ht="12.75" x14ac:dyDescent="0.2">
      <c r="A1117" s="2" t="str">
        <f ca="1">IFERROR(__xludf.DUMMYFUNCTION("""COMPUTED_VALUE"""),"SGS COLOMBIA HOLDING SAS")</f>
        <v>SGS COLOMBIA HOLDING SAS</v>
      </c>
    </row>
    <row r="1118" spans="1:1" ht="12.75" x14ac:dyDescent="0.2">
      <c r="A1118" s="2" t="str">
        <f ca="1">IFERROR(__xludf.DUMMYFUNCTION("""COMPUTED_VALUE"""),"SGS COLOMBIA HOLDING SAS")</f>
        <v>SGS COLOMBIA HOLDING SAS</v>
      </c>
    </row>
    <row r="1119" spans="1:1" ht="12.75" x14ac:dyDescent="0.2">
      <c r="A1119" s="2" t="str">
        <f ca="1">IFERROR(__xludf.DUMMYFUNCTION("""COMPUTED_VALUE"""),"SGS COLOMBIA HOLDING SAS. Bog Americas")</f>
        <v>SGS COLOMBIA HOLDING SAS. Bog Americas</v>
      </c>
    </row>
    <row r="1120" spans="1:1" ht="12.75" x14ac:dyDescent="0.2">
      <c r="A1120" s="2" t="str">
        <f ca="1">IFERROR(__xludf.DUMMYFUNCTION("""COMPUTED_VALUE"""),"SINTONIZAR MEDIOS S.A. S.")</f>
        <v>SINTONIZAR MEDIOS S.A. S.</v>
      </c>
    </row>
    <row r="1121" spans="1:1" ht="25.5" x14ac:dyDescent="0.2">
      <c r="A1121" s="2" t="str">
        <f ca="1">IFERROR(__xludf.DUMMYFUNCTION("""COMPUTED_VALUE"""),"Sistema Integrado de operación de Transporte Sí18 S.A.S")</f>
        <v>Sistema Integrado de operación de Transporte Sí18 S.A.S</v>
      </c>
    </row>
    <row r="1122" spans="1:1" ht="12.75" x14ac:dyDescent="0.2">
      <c r="A1122" s="2" t="str">
        <f ca="1">IFERROR(__xludf.DUMMYFUNCTION("""COMPUTED_VALUE"""),"SISTEMAS COLOMBIA SAS")</f>
        <v>SISTEMAS COLOMBIA SAS</v>
      </c>
    </row>
    <row r="1123" spans="1:1" ht="12.75" x14ac:dyDescent="0.2">
      <c r="A1123" s="2" t="str">
        <f ca="1">IFERROR(__xludf.DUMMYFUNCTION("""COMPUTED_VALUE"""),"SISTEMAS ESPECIALES DE CONSTRUCCIÓN")</f>
        <v>SISTEMAS ESPECIALES DE CONSTRUCCIÓN</v>
      </c>
    </row>
    <row r="1124" spans="1:1" ht="12.75" x14ac:dyDescent="0.2">
      <c r="A1124" s="2" t="str">
        <f ca="1">IFERROR(__xludf.DUMMYFUNCTION("""COMPUTED_VALUE"""),"SISTEMAS ESPECIALIZADOS DE INFORMACIÓN S.A")</f>
        <v>SISTEMAS ESPECIALIZADOS DE INFORMACIÓN S.A</v>
      </c>
    </row>
    <row r="1125" spans="1:1" ht="12.75" x14ac:dyDescent="0.2">
      <c r="A1125" s="2" t="str">
        <f ca="1">IFERROR(__xludf.DUMMYFUNCTION("""COMPUTED_VALUE"""),"SK REMTAL")</f>
        <v>SK REMTAL</v>
      </c>
    </row>
    <row r="1126" spans="1:1" ht="25.5" x14ac:dyDescent="0.2">
      <c r="A1126" s="2" t="str">
        <f ca="1">IFERROR(__xludf.DUMMYFUNCTION("""COMPUTED_VALUE"""),"SKANDIA ADMINISTRADORA DE FONDOS DE PENSIONES Y CESANTIAS")</f>
        <v>SKANDIA ADMINISTRADORA DE FONDOS DE PENSIONES Y CESANTIAS</v>
      </c>
    </row>
    <row r="1127" spans="1:1" ht="12.75" x14ac:dyDescent="0.2">
      <c r="A1127" s="2" t="str">
        <f ca="1">IFERROR(__xludf.DUMMYFUNCTION("""COMPUTED_VALUE"""),"SHM INGENIERIA SAS")</f>
        <v>SHM INGENIERIA SAS</v>
      </c>
    </row>
    <row r="1128" spans="1:1" ht="12.75" x14ac:dyDescent="0.2">
      <c r="A1128" s="2" t="str">
        <f ca="1">IFERROR(__xludf.DUMMYFUNCTION("""COMPUTED_VALUE"""),"SMARTY COLOMBIA S.A.S")</f>
        <v>SMARTY COLOMBIA S.A.S</v>
      </c>
    </row>
    <row r="1129" spans="1:1" ht="12.75" x14ac:dyDescent="0.2">
      <c r="A1129" s="2" t="str">
        <f ca="1">IFERROR(__xludf.DUMMYFUNCTION("""COMPUTED_VALUE"""),"SNB INGENIERÍA SAS")</f>
        <v>SNB INGENIERÍA SAS</v>
      </c>
    </row>
    <row r="1130" spans="1:1" ht="12.75" x14ac:dyDescent="0.2">
      <c r="A1130" s="2" t="str">
        <f ca="1">IFERROR(__xludf.DUMMYFUNCTION("""COMPUTED_VALUE"""),"SOAIN SOFTWARE ASSOCIATES S.A.S.")</f>
        <v>SOAIN SOFTWARE ASSOCIATES S.A.S.</v>
      </c>
    </row>
    <row r="1131" spans="1:1" ht="25.5" x14ac:dyDescent="0.2">
      <c r="A1131" s="2" t="str">
        <f ca="1">IFERROR(__xludf.DUMMYFUNCTION("""COMPUTED_VALUE"""),"SOCIEDAD ANONIMA DE OBRAS Y SERVICIOS COPASA SUCURSAL DE COLOMBIA")</f>
        <v>SOCIEDAD ANONIMA DE OBRAS Y SERVICIOS COPASA SUCURSAL DE COLOMBIA</v>
      </c>
    </row>
    <row r="1132" spans="1:1" ht="25.5" x14ac:dyDescent="0.2">
      <c r="A1132" s="2" t="str">
        <f ca="1">IFERROR(__xludf.DUMMYFUNCTION("""COMPUTED_VALUE"""),"SOCIEDAD FIDUCIARIA DE DESARROLLO AGROPECUARIA - FIDUAGRARIA")</f>
        <v>SOCIEDAD FIDUCIARIA DE DESARROLLO AGROPECUARIA - FIDUAGRARIA</v>
      </c>
    </row>
    <row r="1133" spans="1:1" ht="12.75" x14ac:dyDescent="0.2">
      <c r="A1133" s="2" t="str">
        <f ca="1">IFERROR(__xludf.DUMMYFUNCTION("""COMPUTED_VALUE"""),"SOFTTEK RENOVATION SAS")</f>
        <v>SOFTTEK RENOVATION SAS</v>
      </c>
    </row>
    <row r="1134" spans="1:1" ht="12.75" x14ac:dyDescent="0.2">
      <c r="A1134" s="2" t="str">
        <f ca="1">IFERROR(__xludf.DUMMYFUNCTION("""COMPUTED_VALUE"""),"SOLINOFF CORP SA")</f>
        <v>SOLINOFF CORP SA</v>
      </c>
    </row>
    <row r="1135" spans="1:1" ht="12.75" x14ac:dyDescent="0.2">
      <c r="A1135" s="2" t="str">
        <f ca="1">IFERROR(__xludf.DUMMYFUNCTION("""COMPUTED_VALUE"""),"SOLINOFF CORP SA")</f>
        <v>SOLINOFF CORP SA</v>
      </c>
    </row>
    <row r="1136" spans="1:1" ht="12.75" x14ac:dyDescent="0.2">
      <c r="A1136" s="2" t="str">
        <f ca="1">IFERROR(__xludf.DUMMYFUNCTION("""COMPUTED_VALUE"""),"SOLINOFF CORP SA")</f>
        <v>SOLINOFF CORP SA</v>
      </c>
    </row>
    <row r="1137" spans="1:1" ht="12.75" x14ac:dyDescent="0.2">
      <c r="A1137" s="2" t="str">
        <f ca="1">IFERROR(__xludf.DUMMYFUNCTION("""COMPUTED_VALUE"""),"SOLLA S.A")</f>
        <v>SOLLA S.A</v>
      </c>
    </row>
    <row r="1138" spans="1:1" ht="25.5" x14ac:dyDescent="0.2">
      <c r="A1138" s="2" t="str">
        <f ca="1">IFERROR(__xludf.DUMMYFUNCTION("""COMPUTED_VALUE"""),"SOLUCIONES EN SUMINISTROS INGENIERIA Y CONSTRUCCION SAS")</f>
        <v>SOLUCIONES EN SUMINISTROS INGENIERIA Y CONSTRUCCION SAS</v>
      </c>
    </row>
    <row r="1139" spans="1:1" ht="25.5" x14ac:dyDescent="0.2">
      <c r="A1139" s="2" t="str">
        <f ca="1">IFERROR(__xludf.DUMMYFUNCTION("""COMPUTED_VALUE"""),"SOLUCIONES LOGISTICAS DE ESPACIOS EXTERIORES S.A.S.")</f>
        <v>SOLUCIONES LOGISTICAS DE ESPACIOS EXTERIORES S.A.S.</v>
      </c>
    </row>
    <row r="1140" spans="1:1" ht="12.75" x14ac:dyDescent="0.2">
      <c r="A1140" s="2" t="str">
        <f ca="1">IFERROR(__xludf.DUMMYFUNCTION("""COMPUTED_VALUE"""),"SPAS Y HOTELES SAS")</f>
        <v>SPAS Y HOTELES SAS</v>
      </c>
    </row>
    <row r="1141" spans="1:1" ht="12.75" x14ac:dyDescent="0.2">
      <c r="A1141" s="2" t="str">
        <f ca="1">IFERROR(__xludf.DUMMYFUNCTION("""COMPUTED_VALUE"""),"SPHERA PRODUCCIONES SAS")</f>
        <v>SPHERA PRODUCCIONES SAS</v>
      </c>
    </row>
    <row r="1142" spans="1:1" ht="12.75" x14ac:dyDescent="0.2">
      <c r="A1142" s="2" t="str">
        <f ca="1">IFERROR(__xludf.DUMMYFUNCTION("""COMPUTED_VALUE"""),"STRABAG SAS")</f>
        <v>STRABAG SAS</v>
      </c>
    </row>
    <row r="1143" spans="1:1" ht="25.5" x14ac:dyDescent="0.2">
      <c r="A1143" s="2" t="str">
        <f ca="1">IFERROR(__xludf.DUMMYFUNCTION("""COMPUTED_VALUE"""),"SUDAMERICANA INTEGRAL DE CONSTRUCCIONES SUDINCO S.A. SUCURSAL COLOMBIANA")</f>
        <v>SUDAMERICANA INTEGRAL DE CONSTRUCCIONES SUDINCO S.A. SUCURSAL COLOMBIANA</v>
      </c>
    </row>
    <row r="1144" spans="1:1" ht="25.5" x14ac:dyDescent="0.2">
      <c r="A1144" s="2" t="str">
        <f ca="1">IFERROR(__xludf.DUMMYFUNCTION("""COMPUTED_VALUE"""),"SUDAMERICANA INTEGRAL DE CONSTRUCCIONES SUDINCO S.A. SUCURSAL COLOMBIANA")</f>
        <v>SUDAMERICANA INTEGRAL DE CONSTRUCCIONES SUDINCO S.A. SUCURSAL COLOMBIANA</v>
      </c>
    </row>
    <row r="1145" spans="1:1" ht="12.75" x14ac:dyDescent="0.2">
      <c r="A1145" s="2" t="str">
        <f ca="1">IFERROR(__xludf.DUMMYFUNCTION("""COMPUTED_VALUE"""),"Sumup Medios De Pagos Colombia S A S")</f>
        <v>Sumup Medios De Pagos Colombia S A S</v>
      </c>
    </row>
    <row r="1146" spans="1:1" ht="12.75" x14ac:dyDescent="0.2">
      <c r="A1146" s="2" t="str">
        <f ca="1">IFERROR(__xludf.DUMMYFUNCTION("""COMPUTED_VALUE"""),"SUNSHINE BOUQUET COLOMBIA")</f>
        <v>SUNSHINE BOUQUET COLOMBIA</v>
      </c>
    </row>
    <row r="1147" spans="1:1" ht="38.25" x14ac:dyDescent="0.2">
      <c r="A1147" s="2" t="str">
        <f ca="1">IFERROR(__xludf.DUMMYFUNCTION("""COMPUTED_VALUE"""),"Superintendencia de Servicios Públicos Domiciliarios SUPERSERVICIOS
SEDE 1")</f>
        <v>Superintendencia de Servicios Públicos Domiciliarios SUPERSERVICIOS
SEDE 1</v>
      </c>
    </row>
    <row r="1148" spans="1:1" ht="38.25" x14ac:dyDescent="0.2">
      <c r="A1148" s="2" t="str">
        <f ca="1">IFERROR(__xludf.DUMMYFUNCTION("""COMPUTED_VALUE"""),"Superintendencia de Servicios Públicos Domiciliarios SUPERSERVICIOS
SEDE 2")</f>
        <v>Superintendencia de Servicios Públicos Domiciliarios SUPERSERVICIOS
SEDE 2</v>
      </c>
    </row>
    <row r="1149" spans="1:1" ht="12.75" x14ac:dyDescent="0.2">
      <c r="A1149" s="2" t="str">
        <f ca="1">IFERROR(__xludf.DUMMYFUNCTION("""COMPUTED_VALUE"""),"SUPERINTENDENCIA NACIONAL DE SALUD")</f>
        <v>SUPERINTENDENCIA NACIONAL DE SALUD</v>
      </c>
    </row>
    <row r="1150" spans="1:1" ht="12.75" x14ac:dyDescent="0.2">
      <c r="A1150" s="2" t="str">
        <f ca="1">IFERROR(__xludf.DUMMYFUNCTION("""COMPUTED_VALUE"""),"SUPERINTENTENDENCIA DE TRANSPORTE")</f>
        <v>SUPERINTENTENDENCIA DE TRANSPORTE</v>
      </c>
    </row>
    <row r="1151" spans="1:1" ht="12.75" x14ac:dyDescent="0.2">
      <c r="A1151" s="2" t="str">
        <f ca="1">IFERROR(__xludf.DUMMYFUNCTION("""COMPUTED_VALUE"""),"SUPPLA SA")</f>
        <v>SUPPLA SA</v>
      </c>
    </row>
    <row r="1152" spans="1:1" ht="25.5" x14ac:dyDescent="0.2">
      <c r="A1152" s="2" t="str">
        <f ca="1">IFERROR(__xludf.DUMMYFUNCTION("""COMPUTED_VALUE"""),"SUPERINTENDENCIA DE SERVICIO 
PÚBLICOS DOMICILIARIOS SEDE 1")</f>
        <v>SUPERINTENDENCIA DE SERVICIO 
PÚBLICOS DOMICILIARIOS SEDE 1</v>
      </c>
    </row>
    <row r="1153" spans="1:1" ht="12.75" x14ac:dyDescent="0.2">
      <c r="A1153" s="2" t="str">
        <f ca="1">IFERROR(__xludf.DUMMYFUNCTION("""COMPUTED_VALUE"""),"SUPPLIES 4 PETS SAS")</f>
        <v>SUPPLIES 4 PETS SAS</v>
      </c>
    </row>
    <row r="1154" spans="1:1" ht="25.5" x14ac:dyDescent="0.2">
      <c r="A1154" s="2" t="str">
        <f ca="1">IFERROR(__xludf.DUMMYFUNCTION("""COMPUTED_VALUE"""),"SURAMERICANA DE PROTECCION Y SEGURIDAD PRIVADA LIMITADA")</f>
        <v>SURAMERICANA DE PROTECCION Y SEGURIDAD PRIVADA LIMITADA</v>
      </c>
    </row>
    <row r="1155" spans="1:1" ht="12.75" x14ac:dyDescent="0.2">
      <c r="A1155" s="2" t="str">
        <f ca="1">IFERROR(__xludf.DUMMYFUNCTION("""COMPUTED_VALUE"""),"SUSTENTABILIDAD EMPRESARIAL SAS")</f>
        <v>SUSTENTABILIDAD EMPRESARIAL SAS</v>
      </c>
    </row>
    <row r="1156" spans="1:1" ht="12.75" x14ac:dyDescent="0.2">
      <c r="A1156" s="2" t="str">
        <f ca="1">IFERROR(__xludf.DUMMYFUNCTION("""COMPUTED_VALUE"""),"T.EN COLOMBIA S.A")</f>
        <v>T.EN COLOMBIA S.A</v>
      </c>
    </row>
    <row r="1157" spans="1:1" ht="12.75" x14ac:dyDescent="0.2">
      <c r="A1157" s="2" t="str">
        <f ca="1">IFERROR(__xludf.DUMMYFUNCTION("""COMPUTED_VALUE"""),"TAC SEGURIDAD LTDA")</f>
        <v>TAC SEGURIDAD LTDA</v>
      </c>
    </row>
    <row r="1158" spans="1:1" ht="12.75" x14ac:dyDescent="0.2">
      <c r="A1158" s="2" t="str">
        <f ca="1">IFERROR(__xludf.DUMMYFUNCTION("""COMPUTED_VALUE"""),"TALENTO 911 S.A.S")</f>
        <v>TALENTO 911 S.A.S</v>
      </c>
    </row>
    <row r="1159" spans="1:1" ht="12.75" x14ac:dyDescent="0.2">
      <c r="A1159" s="2" t="str">
        <f ca="1">IFERROR(__xludf.DUMMYFUNCTION("""COMPUTED_VALUE"""),"TALENTO SOLIDO S.A.S.")</f>
        <v>TALENTO SOLIDO S.A.S.</v>
      </c>
    </row>
    <row r="1160" spans="1:1" ht="12.75" x14ac:dyDescent="0.2">
      <c r="A1160" s="2" t="str">
        <f ca="1">IFERROR(__xludf.DUMMYFUNCTION("""COMPUTED_VALUE"""),"tatiana_castillo01@hotmail.com")</f>
        <v>tatiana_castillo01@hotmail.com</v>
      </c>
    </row>
    <row r="1161" spans="1:1" ht="51" x14ac:dyDescent="0.2">
      <c r="A1161" s="2" t="str">
        <f ca="1">IFERROR(__xludf.DUMMYFUNCTION("""COMPUTED_VALUE"""),"TEIXEIRA DUARTE-ENGENHARIA E CONSTRUÇÕES, COLOMBIA S.A /
TEIXEIRA DUARTE - ENGENHARIA E CONSTRUCOES, SUCURSAL EN COLOMBIA")</f>
        <v>TEIXEIRA DUARTE-ENGENHARIA E CONSTRUÇÕES, COLOMBIA S.A /
TEIXEIRA DUARTE - ENGENHARIA E CONSTRUCOES, SUCURSAL EN COLOMBIA</v>
      </c>
    </row>
    <row r="1162" spans="1:1" ht="12.75" x14ac:dyDescent="0.2">
      <c r="A1162" s="2" t="str">
        <f ca="1">IFERROR(__xludf.DUMMYFUNCTION("""COMPUTED_VALUE"""),"TELEPERFORMANCE COLOMBIS S.A.S")</f>
        <v>TELEPERFORMANCE COLOMBIS S.A.S</v>
      </c>
    </row>
    <row r="1163" spans="1:1" ht="12.75" x14ac:dyDescent="0.2">
      <c r="A1163" s="2" t="str">
        <f ca="1">IFERROR(__xludf.DUMMYFUNCTION("""COMPUTED_VALUE"""),"TERMINAL DE TRANSPORTES DE GirardotS A")</f>
        <v>TERMINAL DE TRANSPORTES DE GirardotS A</v>
      </c>
    </row>
    <row r="1164" spans="1:1" ht="12.75" x14ac:dyDescent="0.2">
      <c r="A1164" s="2" t="str">
        <f ca="1">IFERROR(__xludf.DUMMYFUNCTION("""COMPUTED_VALUE"""),"TERPEL SA")</f>
        <v>TERPEL SA</v>
      </c>
    </row>
    <row r="1165" spans="1:1" ht="12.75" x14ac:dyDescent="0.2">
      <c r="A1165" s="2" t="str">
        <f ca="1">IFERROR(__xludf.DUMMYFUNCTION("""COMPUTED_VALUE"""),"TERRA FERME SAS")</f>
        <v>TERRA FERME SAS</v>
      </c>
    </row>
    <row r="1166" spans="1:1" ht="12.75" x14ac:dyDescent="0.2">
      <c r="A1166" s="2" t="str">
        <f ca="1">IFERROR(__xludf.DUMMYFUNCTION("""COMPUTED_VALUE"""),"TERRITORIUM LIFE")</f>
        <v>TERRITORIUM LIFE</v>
      </c>
    </row>
    <row r="1167" spans="1:1" ht="12.75" x14ac:dyDescent="0.2">
      <c r="A1167" s="2" t="str">
        <f ca="1">IFERROR(__xludf.DUMMYFUNCTION("""COMPUTED_VALUE"""),"TIVIT COLOMBIA SAS")</f>
        <v>TIVIT COLOMBIA SAS</v>
      </c>
    </row>
    <row r="1168" spans="1:1" ht="12.75" x14ac:dyDescent="0.2">
      <c r="A1168" s="2" t="str">
        <f ca="1">IFERROR(__xludf.DUMMYFUNCTION("""COMPUTED_VALUE"""),"TKARGA SAS")</f>
        <v>TKARGA SAS</v>
      </c>
    </row>
    <row r="1169" spans="1:1" ht="12.75" x14ac:dyDescent="0.2">
      <c r="A1169" s="2" t="str">
        <f ca="1">IFERROR(__xludf.DUMMYFUNCTION("""COMPUTED_VALUE"""),"TOSTACAFE SAS")</f>
        <v>TOSTACAFE SAS</v>
      </c>
    </row>
    <row r="1170" spans="1:1" ht="12.75" x14ac:dyDescent="0.2">
      <c r="A1170" s="2" t="str">
        <f ca="1">IFERROR(__xludf.DUMMYFUNCTION("""COMPUTED_VALUE"""),"TOSTACAFE SAS")</f>
        <v>TOSTACAFE SAS</v>
      </c>
    </row>
    <row r="1171" spans="1:1" ht="12.75" x14ac:dyDescent="0.2">
      <c r="A1171" s="2" t="str">
        <f ca="1">IFERROR(__xludf.DUMMYFUNCTION("""COMPUTED_VALUE"""),"TOUR VACATION HOTELES AZULES SAS")</f>
        <v>TOUR VACATION HOTELES AZULES SAS</v>
      </c>
    </row>
    <row r="1172" spans="1:1" ht="12.75" x14ac:dyDescent="0.2">
      <c r="A1172" s="2" t="str">
        <f ca="1">IFERROR(__xludf.DUMMYFUNCTION("""COMPUTED_VALUE"""),"TRANSOCEANICA SAS")</f>
        <v>TRANSOCEANICA SAS</v>
      </c>
    </row>
    <row r="1173" spans="1:1" ht="12.75" x14ac:dyDescent="0.2">
      <c r="A1173" s="2" t="str">
        <f ca="1">IFERROR(__xludf.DUMMYFUNCTION("""COMPUTED_VALUE"""),"TRANSPORTES GALAXIA SA")</f>
        <v>TRANSPORTES GALAXIA SA</v>
      </c>
    </row>
    <row r="1174" spans="1:1" ht="12.75" x14ac:dyDescent="0.2">
      <c r="A1174" s="2" t="str">
        <f ca="1">IFERROR(__xludf.DUMMYFUNCTION("""COMPUTED_VALUE"""),"TUL S.A.S")</f>
        <v>TUL S.A.S</v>
      </c>
    </row>
    <row r="1175" spans="1:1" ht="12.75" x14ac:dyDescent="0.2">
      <c r="A1175" s="2" t="str">
        <f ca="1">IFERROR(__xludf.DUMMYFUNCTION("""COMPUTED_VALUE"""),"TUL S.A.S.")</f>
        <v>TUL S.A.S.</v>
      </c>
    </row>
    <row r="1176" spans="1:1" ht="12.75" x14ac:dyDescent="0.2">
      <c r="A1176" s="2" t="str">
        <f ca="1">IFERROR(__xludf.DUMMYFUNCTION("""COMPUTED_VALUE"""),"UBITS LEARNING SOLUTIONS S.A.S")</f>
        <v>UBITS LEARNING SOLUTIONS S.A.S</v>
      </c>
    </row>
    <row r="1177" spans="1:1" ht="25.5" x14ac:dyDescent="0.2">
      <c r="A1177" s="2" t="str">
        <f ca="1">IFERROR(__xludf.DUMMYFUNCTION("""COMPUTED_VALUE"""),"UNIDAD ADMINISTRATIVA ESPECIAL DE ALIMENTACIÓN ESCOLAR")</f>
        <v>UNIDAD ADMINISTRATIVA ESPECIAL DE ALIMENTACIÓN ESCOLAR</v>
      </c>
    </row>
    <row r="1178" spans="1:1" ht="25.5" x14ac:dyDescent="0.2">
      <c r="A1178" s="2" t="str">
        <f ca="1">IFERROR(__xludf.DUMMYFUNCTION("""COMPUTED_VALUE"""),"UNIDAD AdministrativaESPECIAL DE CATASTRO DISTRITAL")</f>
        <v>UNIDAD AdministrativaESPECIAL DE CATASTRO DISTRITAL</v>
      </c>
    </row>
    <row r="1179" spans="1:1" ht="38.25" x14ac:dyDescent="0.2">
      <c r="A1179" s="2" t="str">
        <f ca="1">IFERROR(__xludf.DUMMYFUNCTION("""COMPUTED_VALUE"""),"UNIDAD AdministrativaESPECIAL DE GESTIÓN PENSIONAL Y CONTRIBUCIONES PARAFISCALES DE LA PROTECCIÓN SOCIAL")</f>
        <v>UNIDAD AdministrativaESPECIAL DE GESTIÓN PENSIONAL Y CONTRIBUCIONES PARAFISCALES DE LA PROTECCIÓN SOCIAL</v>
      </c>
    </row>
    <row r="1180" spans="1:1" ht="25.5" x14ac:dyDescent="0.2">
      <c r="A1180" s="2" t="str">
        <f ca="1">IFERROR(__xludf.DUMMYFUNCTION("""COMPUTED_VALUE"""),"UNIDAD AdministrativaESPECIAL JUNTA CENTRAL DE CONTADORES")</f>
        <v>UNIDAD AdministrativaESPECIAL JUNTA CENTRAL DE CONTADORES</v>
      </c>
    </row>
    <row r="1181" spans="1:1" ht="25.5" x14ac:dyDescent="0.2">
      <c r="A1181" s="2" t="str">
        <f ca="1">IFERROR(__xludf.DUMMYFUNCTION("""COMPUTED_VALUE"""),"UNIDAD NACIONAL PARA LA GESTIÓN DEL RIESGO DE DESASTRES - UNGRD")</f>
        <v>UNIDAD NACIONAL PARA LA GESTIÓN DEL RIESGO DE DESASTRES - UNGRD</v>
      </c>
    </row>
    <row r="1182" spans="1:1" ht="12.75" x14ac:dyDescent="0.2">
      <c r="A1182" s="2" t="str">
        <f ca="1">IFERROR(__xludf.DUMMYFUNCTION("""COMPUTED_VALUE"""),"UNILEVER Andina Colombia")</f>
        <v>UNILEVER Andina Colombia</v>
      </c>
    </row>
    <row r="1183" spans="1:1" ht="12.75" x14ac:dyDescent="0.2">
      <c r="A1183" s="2" t="str">
        <f ca="1">IFERROR(__xludf.DUMMYFUNCTION("""COMPUTED_VALUE"""),"VALORACIÓN ECONÓMICA AMBIENTAL SAS")</f>
        <v>VALORACIÓN ECONÓMICA AMBIENTAL SAS</v>
      </c>
    </row>
    <row r="1184" spans="1:1" ht="12.75" x14ac:dyDescent="0.2">
      <c r="A1184" s="2" t="str">
        <f ca="1">IFERROR(__xludf.DUMMYFUNCTION("""COMPUTED_VALUE"""),"VECTOR GEOPHYSICAL SAS")</f>
        <v>VECTOR GEOPHYSICAL SAS</v>
      </c>
    </row>
    <row r="1185" spans="1:1" ht="12.75" x14ac:dyDescent="0.2">
      <c r="A1185" s="2" t="str">
        <f ca="1">IFERROR(__xludf.DUMMYFUNCTION("""COMPUTED_VALUE"""),"Verytel S.A")</f>
        <v>Verytel S.A</v>
      </c>
    </row>
    <row r="1186" spans="1:1" ht="12.75" x14ac:dyDescent="0.2">
      <c r="A1186" s="2" t="str">
        <f ca="1">IFERROR(__xludf.DUMMYFUNCTION("""COMPUTED_VALUE"""),"VICPAR SA")</f>
        <v>VICPAR SA</v>
      </c>
    </row>
    <row r="1187" spans="1:1" ht="12.75" x14ac:dyDescent="0.2">
      <c r="A1187" s="2" t="str">
        <f ca="1">IFERROR(__xludf.DUMMYFUNCTION("""COMPUTED_VALUE"""),"VICTORIAS FASHION CYG SAS")</f>
        <v>VICTORIAS FASHION CYG SAS</v>
      </c>
    </row>
    <row r="1188" spans="1:1" ht="12.75" x14ac:dyDescent="0.2">
      <c r="A1188" s="2" t="str">
        <f ca="1">IFERROR(__xludf.DUMMYFUNCTION("""COMPUTED_VALUE"""),"VIDA PRODUCE COMPANY / VPC COLOMBIA S.A.S")</f>
        <v>VIDA PRODUCE COMPANY / VPC COLOMBIA S.A.S</v>
      </c>
    </row>
    <row r="1189" spans="1:1" ht="12.75" x14ac:dyDescent="0.2">
      <c r="A1189" s="2" t="str">
        <f ca="1">IFERROR(__xludf.DUMMYFUNCTION("""COMPUTED_VALUE"""),"VIDRIO ANDINO SAS")</f>
        <v>VIDRIO ANDINO SAS</v>
      </c>
    </row>
    <row r="1190" spans="1:1" ht="12.75" x14ac:dyDescent="0.2">
      <c r="A1190" s="2" t="str">
        <f ca="1">IFERROR(__xludf.DUMMYFUNCTION("""COMPUTED_VALUE"""),"VIGIAS DE COLOMBIA SRL LTDA")</f>
        <v>VIGIAS DE COLOMBIA SRL LTDA</v>
      </c>
    </row>
    <row r="1191" spans="1:1" ht="12.75" x14ac:dyDescent="0.2">
      <c r="A1191" s="2" t="str">
        <f ca="1">IFERROR(__xludf.DUMMYFUNCTION("""COMPUTED_VALUE"""),"VILLEGAS Y VILLEGAS IVEGAS S.A.S.")</f>
        <v>VILLEGAS Y VILLEGAS IVEGAS S.A.S.</v>
      </c>
    </row>
    <row r="1192" spans="1:1" ht="12.75" x14ac:dyDescent="0.2">
      <c r="A1192" s="2" t="str">
        <f ca="1">IFERROR(__xludf.DUMMYFUNCTION("""COMPUTED_VALUE"""),"VITRO SA")</f>
        <v>VITRO SA</v>
      </c>
    </row>
    <row r="1193" spans="1:1" ht="25.5" x14ac:dyDescent="0.2">
      <c r="A1193" s="2" t="str">
        <f ca="1">IFERROR(__xludf.DUMMYFUNCTION("""COMPUTED_VALUE"""),"VIVE CAFÉ .BIC. 
R&amp;D CAFES SAS")</f>
        <v>VIVE CAFÉ .BIC. 
R&amp;D CAFES SAS</v>
      </c>
    </row>
    <row r="1194" spans="1:1" ht="12.75" x14ac:dyDescent="0.2">
      <c r="A1194" s="2" t="str">
        <f ca="1">IFERROR(__xludf.DUMMYFUNCTION("""COMPUTED_VALUE"""),"WALGO SAS")</f>
        <v>WALGO SAS</v>
      </c>
    </row>
    <row r="1195" spans="1:1" ht="12.75" x14ac:dyDescent="0.2">
      <c r="A1195" s="2" t="str">
        <f ca="1">IFERROR(__xludf.DUMMYFUNCTION("""COMPUTED_VALUE"""),"WELLCOME RENTAS VACACIONALES SAS")</f>
        <v>WELLCOME RENTAS VACACIONALES SAS</v>
      </c>
    </row>
    <row r="1196" spans="1:1" ht="12.75" x14ac:dyDescent="0.2">
      <c r="A1196" s="2" t="str">
        <f ca="1">IFERROR(__xludf.DUMMYFUNCTION("""COMPUTED_VALUE"""),"WEXLER SAS")</f>
        <v>WEXLER SAS</v>
      </c>
    </row>
    <row r="1197" spans="1:1" ht="25.5" x14ac:dyDescent="0.2">
      <c r="A1197" s="2" t="str">
        <f ca="1">IFERROR(__xludf.DUMMYFUNCTION("""COMPUTED_VALUE"""),"WILLIS TOWERS WATSON COLOMBIA CORREDORES DE SEGUROS SA")</f>
        <v>WILLIS TOWERS WATSON COLOMBIA CORREDORES DE SEGUROS SA</v>
      </c>
    </row>
    <row r="1198" spans="1:1" ht="12.75" x14ac:dyDescent="0.2">
      <c r="A1198" s="2" t="str">
        <f ca="1">IFERROR(__xludf.DUMMYFUNCTION("""COMPUTED_VALUE"""),"WT Y CIA S.A.S.")</f>
        <v>WT Y CIA S.A.S.</v>
      </c>
    </row>
    <row r="1199" spans="1:1" ht="12.75" x14ac:dyDescent="0.2">
      <c r="A1199" s="2" t="str">
        <f ca="1">IFERROR(__xludf.DUMMYFUNCTION("""COMPUTED_VALUE"""),"XENITAL SAS")</f>
        <v>XENITAL SAS</v>
      </c>
    </row>
    <row r="1200" spans="1:1" ht="12.75" x14ac:dyDescent="0.2">
      <c r="A1200" s="2" t="str">
        <f ca="1">IFERROR(__xludf.DUMMYFUNCTION("""COMPUTED_VALUE"""),"YDN INFRAESTRUCTURA SAS")</f>
        <v>YDN INFRAESTRUCTURA SAS</v>
      </c>
    </row>
    <row r="1201" spans="1:1" ht="25.5" x14ac:dyDescent="0.2">
      <c r="A1201" s="2" t="str">
        <f ca="1">IFERROR(__xludf.DUMMYFUNCTION("""COMPUTED_VALUE"""),"XTREME RECREATION PERILLA SAS
CONSTRUCCIONES E INVERSIONES EL IMPERIO SAS")</f>
        <v>XTREME RECREATION PERILLA SAS
CONSTRUCCIONES E INVERSIONES EL IMPERIO SAS</v>
      </c>
    </row>
    <row r="1202" spans="1:1" ht="12.75" x14ac:dyDescent="0.2">
      <c r="A1202" s="2" t="str">
        <f ca="1">IFERROR(__xludf.DUMMYFUNCTION("""COMPUTED_VALUE"""),"YANHAAS SAS")</f>
        <v>YANHAAS SAS</v>
      </c>
    </row>
    <row r="1203" spans="1:1" ht="12.75" x14ac:dyDescent="0.2">
      <c r="A1203" s="2" t="str">
        <f ca="1">IFERROR(__xludf.DUMMYFUNCTION("""COMPUTED_VALUE"""),"YUNEX TRAFFIC")</f>
        <v>YUNEX TRAFFIC</v>
      </c>
    </row>
    <row r="1204" spans="1:1" ht="12.75" x14ac:dyDescent="0.2">
      <c r="A1204" s="2"/>
    </row>
    <row r="1205" spans="1:1" ht="12.75" x14ac:dyDescent="0.2">
      <c r="A1205" s="2"/>
    </row>
    <row r="1206" spans="1:1" ht="12.75" x14ac:dyDescent="0.2">
      <c r="A1206" s="2"/>
    </row>
    <row r="1207" spans="1:1" ht="12.75" x14ac:dyDescent="0.2">
      <c r="A1207" s="2"/>
    </row>
    <row r="1208" spans="1:1" ht="12.75" x14ac:dyDescent="0.2">
      <c r="A1208" s="2"/>
    </row>
    <row r="1209" spans="1:1" ht="12.75" x14ac:dyDescent="0.2">
      <c r="A1209" s="2"/>
    </row>
    <row r="1210" spans="1:1" ht="12.75" x14ac:dyDescent="0.2">
      <c r="A1210" s="2"/>
    </row>
    <row r="1211" spans="1:1" ht="12.75" x14ac:dyDescent="0.2">
      <c r="A1211" s="2"/>
    </row>
    <row r="1212" spans="1:1" ht="12.75" x14ac:dyDescent="0.2">
      <c r="A1212" s="2"/>
    </row>
    <row r="1213" spans="1:1" ht="12.75" x14ac:dyDescent="0.2">
      <c r="A1213" s="2"/>
    </row>
    <row r="1214" spans="1:1" ht="12.75" x14ac:dyDescent="0.2">
      <c r="A1214" s="2"/>
    </row>
    <row r="1215" spans="1:1" ht="12.75" x14ac:dyDescent="0.2">
      <c r="A1215" s="2"/>
    </row>
    <row r="1216" spans="1:1" ht="12.75" x14ac:dyDescent="0.2">
      <c r="A1216" s="2"/>
    </row>
    <row r="1217" spans="1:1" ht="12.75" x14ac:dyDescent="0.2">
      <c r="A1217" s="2"/>
    </row>
    <row r="1218" spans="1:1" ht="12.75" x14ac:dyDescent="0.2">
      <c r="A1218" s="2"/>
    </row>
    <row r="1219" spans="1:1" ht="12.75" x14ac:dyDescent="0.2">
      <c r="A1219" s="2"/>
    </row>
    <row r="1220" spans="1:1" ht="12.75" x14ac:dyDescent="0.2">
      <c r="A1220" s="2"/>
    </row>
    <row r="1221" spans="1:1" ht="12.75" x14ac:dyDescent="0.2">
      <c r="A1221" s="2"/>
    </row>
    <row r="1222" spans="1:1" ht="12.75" x14ac:dyDescent="0.2">
      <c r="A1222" s="2"/>
    </row>
    <row r="1223" spans="1:1" ht="12.75" x14ac:dyDescent="0.2">
      <c r="A1223" s="2"/>
    </row>
    <row r="1224" spans="1:1" ht="12.75" x14ac:dyDescent="0.2">
      <c r="A1224" s="2"/>
    </row>
    <row r="1225" spans="1:1" ht="12.75" x14ac:dyDescent="0.2">
      <c r="A1225" s="2"/>
    </row>
    <row r="1226" spans="1:1" ht="12.75" x14ac:dyDescent="0.2">
      <c r="A1226" s="2"/>
    </row>
    <row r="1227" spans="1:1" ht="12.75" x14ac:dyDescent="0.2">
      <c r="A1227" s="2"/>
    </row>
    <row r="1228" spans="1:1" ht="12.75" x14ac:dyDescent="0.2">
      <c r="A1228" s="2"/>
    </row>
    <row r="1229" spans="1:1" ht="12.75" x14ac:dyDescent="0.2">
      <c r="A1229" s="2"/>
    </row>
    <row r="1230" spans="1:1" ht="12.75" x14ac:dyDescent="0.2">
      <c r="A1230" s="2"/>
    </row>
    <row r="1231" spans="1:1" ht="12.75" x14ac:dyDescent="0.2">
      <c r="A1231" s="2"/>
    </row>
    <row r="1232" spans="1:1" ht="12.75" x14ac:dyDescent="0.2">
      <c r="A1232" s="2"/>
    </row>
    <row r="1233" spans="1:1" ht="12.75" x14ac:dyDescent="0.2">
      <c r="A1233" s="2"/>
    </row>
    <row r="1234" spans="1:1" ht="12.75" x14ac:dyDescent="0.2">
      <c r="A1234" s="2"/>
    </row>
    <row r="1235" spans="1:1" ht="12.75" x14ac:dyDescent="0.2">
      <c r="A1235" s="2"/>
    </row>
    <row r="1236" spans="1:1" ht="12.75" x14ac:dyDescent="0.2">
      <c r="A1236" s="2"/>
    </row>
    <row r="1237" spans="1:1" ht="12.75" x14ac:dyDescent="0.2">
      <c r="A1237" s="2"/>
    </row>
    <row r="1238" spans="1:1" ht="12.75" x14ac:dyDescent="0.2">
      <c r="A1238" s="2"/>
    </row>
    <row r="1239" spans="1:1" ht="12.75" x14ac:dyDescent="0.2">
      <c r="A1239" s="2"/>
    </row>
    <row r="1240" spans="1:1" ht="12.75" x14ac:dyDescent="0.2">
      <c r="A1240" s="2"/>
    </row>
    <row r="1241" spans="1:1" ht="12.75" x14ac:dyDescent="0.2">
      <c r="A1241" s="2"/>
    </row>
    <row r="1242" spans="1:1" ht="12.75" x14ac:dyDescent="0.2">
      <c r="A1242" s="2"/>
    </row>
    <row r="1243" spans="1:1" ht="12.75" x14ac:dyDescent="0.2">
      <c r="A1243" s="2"/>
    </row>
    <row r="1244" spans="1:1" ht="12.75" x14ac:dyDescent="0.2">
      <c r="A1244" s="2"/>
    </row>
    <row r="1245" spans="1:1" ht="12.75" x14ac:dyDescent="0.2">
      <c r="A1245" s="2"/>
    </row>
    <row r="1246" spans="1:1" ht="12.75" x14ac:dyDescent="0.2">
      <c r="A1246" s="2"/>
    </row>
    <row r="1247" spans="1:1" ht="12.75" x14ac:dyDescent="0.2">
      <c r="A1247" s="2"/>
    </row>
    <row r="1248" spans="1:1" ht="12.75" x14ac:dyDescent="0.2">
      <c r="A1248" s="2"/>
    </row>
    <row r="1249" spans="1:1" ht="12.75" x14ac:dyDescent="0.2">
      <c r="A1249" s="2"/>
    </row>
    <row r="1250" spans="1:1" ht="12.75" x14ac:dyDescent="0.2">
      <c r="A1250" s="2"/>
    </row>
    <row r="1251" spans="1:1" ht="12.75" x14ac:dyDescent="0.2">
      <c r="A1251" s="2"/>
    </row>
    <row r="1252" spans="1:1" ht="12.75" x14ac:dyDescent="0.2">
      <c r="A1252" s="2"/>
    </row>
    <row r="1253" spans="1:1" ht="12.75" x14ac:dyDescent="0.2">
      <c r="A1253" s="2"/>
    </row>
    <row r="1254" spans="1:1" ht="12.75" x14ac:dyDescent="0.2">
      <c r="A1254" s="2"/>
    </row>
    <row r="1255" spans="1:1" ht="12.75" x14ac:dyDescent="0.2">
      <c r="A1255" s="2"/>
    </row>
    <row r="1256" spans="1:1" ht="12.75" x14ac:dyDescent="0.2">
      <c r="A1256" s="2"/>
    </row>
    <row r="1257" spans="1:1" ht="12.75" x14ac:dyDescent="0.2">
      <c r="A1257" s="2"/>
    </row>
    <row r="1258" spans="1:1" ht="12.75" x14ac:dyDescent="0.2">
      <c r="A1258" s="2"/>
    </row>
    <row r="1259" spans="1:1" ht="12.75" x14ac:dyDescent="0.2">
      <c r="A1259" s="2"/>
    </row>
    <row r="1260" spans="1:1" ht="12.75" x14ac:dyDescent="0.2">
      <c r="A1260" s="2"/>
    </row>
    <row r="1261" spans="1:1" ht="12.75" x14ac:dyDescent="0.2">
      <c r="A1261" s="2"/>
    </row>
    <row r="1262" spans="1:1" ht="12.75" x14ac:dyDescent="0.2">
      <c r="A1262" s="2"/>
    </row>
    <row r="1263" spans="1:1" ht="12.75" x14ac:dyDescent="0.2">
      <c r="A1263" s="2"/>
    </row>
    <row r="1264" spans="1:1" ht="12.75" x14ac:dyDescent="0.2">
      <c r="A1264" s="2"/>
    </row>
    <row r="1265" spans="1:1" ht="12.75" x14ac:dyDescent="0.2">
      <c r="A1265" s="2"/>
    </row>
    <row r="1266" spans="1:1" ht="12.75" x14ac:dyDescent="0.2">
      <c r="A1266" s="2"/>
    </row>
    <row r="1267" spans="1:1" ht="12.75" x14ac:dyDescent="0.2">
      <c r="A1267" s="2"/>
    </row>
    <row r="1268" spans="1:1" ht="12.75" x14ac:dyDescent="0.2">
      <c r="A1268" s="2"/>
    </row>
    <row r="1269" spans="1:1" ht="12.75" x14ac:dyDescent="0.2">
      <c r="A1269" s="2"/>
    </row>
    <row r="1270" spans="1:1" ht="12.75" x14ac:dyDescent="0.2">
      <c r="A1270" s="2"/>
    </row>
    <row r="1271" spans="1:1" ht="12.75" x14ac:dyDescent="0.2">
      <c r="A1271" s="2"/>
    </row>
    <row r="1272" spans="1:1" ht="12.75" x14ac:dyDescent="0.2">
      <c r="A1272" s="2"/>
    </row>
    <row r="1273" spans="1:1" ht="12.75" x14ac:dyDescent="0.2">
      <c r="A1273" s="2"/>
    </row>
    <row r="1274" spans="1:1" ht="12.75" x14ac:dyDescent="0.2">
      <c r="A1274" s="2"/>
    </row>
    <row r="1275" spans="1:1" ht="12.75" x14ac:dyDescent="0.2">
      <c r="A1275" s="2"/>
    </row>
    <row r="1276" spans="1:1" ht="12.75" x14ac:dyDescent="0.2">
      <c r="A1276" s="2"/>
    </row>
    <row r="1277" spans="1:1" ht="12.75" x14ac:dyDescent="0.2">
      <c r="A1277" s="2"/>
    </row>
    <row r="1278" spans="1:1" ht="12.75" x14ac:dyDescent="0.2">
      <c r="A1278" s="2"/>
    </row>
    <row r="1279" spans="1:1" ht="12.75" x14ac:dyDescent="0.2">
      <c r="A1279" s="2"/>
    </row>
    <row r="1280" spans="1:1" ht="12.75" x14ac:dyDescent="0.2">
      <c r="A1280" s="2"/>
    </row>
    <row r="1281" spans="1:1" ht="12.75" x14ac:dyDescent="0.2">
      <c r="A1281" s="2"/>
    </row>
    <row r="1282" spans="1:1" ht="12.75" x14ac:dyDescent="0.2">
      <c r="A1282" s="2"/>
    </row>
    <row r="1283" spans="1:1" ht="12.75" x14ac:dyDescent="0.2">
      <c r="A1283" s="2"/>
    </row>
    <row r="1284" spans="1:1" ht="12.75" x14ac:dyDescent="0.2">
      <c r="A1284" s="2"/>
    </row>
    <row r="1285" spans="1:1" ht="12.75" x14ac:dyDescent="0.2">
      <c r="A1285" s="2"/>
    </row>
    <row r="1286" spans="1:1" ht="12.75" x14ac:dyDescent="0.2">
      <c r="A1286" s="2"/>
    </row>
    <row r="1287" spans="1:1" ht="12.75" x14ac:dyDescent="0.2">
      <c r="A1287" s="2"/>
    </row>
    <row r="1288" spans="1:1" ht="12.75" x14ac:dyDescent="0.2">
      <c r="A1288" s="2"/>
    </row>
    <row r="1289" spans="1:1" ht="12.75" x14ac:dyDescent="0.2">
      <c r="A1289" s="2"/>
    </row>
    <row r="1290" spans="1:1" ht="12.75" x14ac:dyDescent="0.2">
      <c r="A1290" s="2"/>
    </row>
    <row r="1291" spans="1:1" ht="12.75" x14ac:dyDescent="0.2">
      <c r="A1291" s="2"/>
    </row>
    <row r="1292" spans="1:1" ht="12.75" x14ac:dyDescent="0.2">
      <c r="A1292" s="2"/>
    </row>
    <row r="1293" spans="1:1" ht="12.75" x14ac:dyDescent="0.2">
      <c r="A1293" s="2"/>
    </row>
    <row r="1294" spans="1:1" ht="12.75" x14ac:dyDescent="0.2">
      <c r="A1294" s="2"/>
    </row>
    <row r="1295" spans="1:1" ht="12.75" x14ac:dyDescent="0.2">
      <c r="A1295" s="2"/>
    </row>
    <row r="1296" spans="1:1" ht="12.75" x14ac:dyDescent="0.2">
      <c r="A1296" s="2"/>
    </row>
    <row r="1297" spans="1:1" ht="12.75" x14ac:dyDescent="0.2">
      <c r="A1297" s="2"/>
    </row>
    <row r="1298" spans="1:1" ht="12.75" x14ac:dyDescent="0.2">
      <c r="A1298" s="2"/>
    </row>
    <row r="1299" spans="1:1" ht="12.75" x14ac:dyDescent="0.2">
      <c r="A1299" s="2"/>
    </row>
    <row r="1300" spans="1:1" ht="12.75" x14ac:dyDescent="0.2">
      <c r="A1300" s="2"/>
    </row>
    <row r="1301" spans="1:1" ht="12.75" x14ac:dyDescent="0.2">
      <c r="A1301" s="2"/>
    </row>
    <row r="1302" spans="1:1" ht="12.75" x14ac:dyDescent="0.2">
      <c r="A1302" s="2"/>
    </row>
    <row r="1303" spans="1:1" ht="12.75" x14ac:dyDescent="0.2">
      <c r="A1303" s="2"/>
    </row>
    <row r="1304" spans="1:1" ht="12.75" x14ac:dyDescent="0.2">
      <c r="A1304" s="2"/>
    </row>
    <row r="1305" spans="1:1" ht="12.75" x14ac:dyDescent="0.2">
      <c r="A1305" s="2"/>
    </row>
    <row r="1306" spans="1:1" ht="12.75" x14ac:dyDescent="0.2">
      <c r="A1306" s="2"/>
    </row>
    <row r="1307" spans="1:1" ht="12.75" x14ac:dyDescent="0.2">
      <c r="A1307" s="2"/>
    </row>
    <row r="1308" spans="1:1" ht="12.75" x14ac:dyDescent="0.2">
      <c r="A1308" s="2"/>
    </row>
    <row r="1309" spans="1:1" ht="12.75" x14ac:dyDescent="0.2">
      <c r="A1309" s="2"/>
    </row>
    <row r="1310" spans="1:1" ht="12.75" x14ac:dyDescent="0.2">
      <c r="A1310" s="2"/>
    </row>
    <row r="1311" spans="1:1" ht="12.75" x14ac:dyDescent="0.2">
      <c r="A1311" s="2"/>
    </row>
    <row r="1312" spans="1:1" ht="12.75" x14ac:dyDescent="0.2">
      <c r="A1312" s="2"/>
    </row>
    <row r="1313" spans="1:1" ht="12.75" x14ac:dyDescent="0.2">
      <c r="A1313" s="2"/>
    </row>
    <row r="1314" spans="1:1" ht="12.75" x14ac:dyDescent="0.2">
      <c r="A1314" s="2"/>
    </row>
    <row r="1315" spans="1:1" ht="12.75" x14ac:dyDescent="0.2">
      <c r="A1315" s="2"/>
    </row>
    <row r="1316" spans="1:1" ht="12.75" x14ac:dyDescent="0.2">
      <c r="A1316" s="2"/>
    </row>
    <row r="1317" spans="1:1" ht="12.75" x14ac:dyDescent="0.2">
      <c r="A1317" s="2"/>
    </row>
    <row r="1318" spans="1:1" ht="12.75" x14ac:dyDescent="0.2">
      <c r="A1318" s="2"/>
    </row>
    <row r="1319" spans="1:1" ht="12.75" x14ac:dyDescent="0.2">
      <c r="A1319" s="2"/>
    </row>
    <row r="1320" spans="1:1" ht="12.75" x14ac:dyDescent="0.2">
      <c r="A1320" s="2"/>
    </row>
    <row r="1321" spans="1:1" ht="12.75" x14ac:dyDescent="0.2">
      <c r="A1321" s="2"/>
    </row>
    <row r="1322" spans="1:1" ht="12.75" x14ac:dyDescent="0.2">
      <c r="A1322" s="2"/>
    </row>
    <row r="1323" spans="1:1" ht="12.75" x14ac:dyDescent="0.2">
      <c r="A1323" s="2"/>
    </row>
    <row r="1324" spans="1:1" ht="12.75" x14ac:dyDescent="0.2">
      <c r="A1324" s="2"/>
    </row>
    <row r="1325" spans="1:1" ht="12.75" x14ac:dyDescent="0.2">
      <c r="A1325" s="2"/>
    </row>
    <row r="1326" spans="1:1" ht="12.75" x14ac:dyDescent="0.2">
      <c r="A1326" s="2"/>
    </row>
    <row r="1327" spans="1:1" ht="12.75" x14ac:dyDescent="0.2">
      <c r="A1327" s="2"/>
    </row>
    <row r="1328" spans="1:1" ht="12.75" x14ac:dyDescent="0.2">
      <c r="A1328" s="2"/>
    </row>
    <row r="1329" spans="1:1" ht="12.75" x14ac:dyDescent="0.2">
      <c r="A1329" s="2"/>
    </row>
    <row r="1330" spans="1:1" ht="12.75" x14ac:dyDescent="0.2">
      <c r="A1330" s="2"/>
    </row>
    <row r="1331" spans="1:1" ht="12.75" x14ac:dyDescent="0.2">
      <c r="A1331" s="2"/>
    </row>
    <row r="1332" spans="1:1" ht="12.75" x14ac:dyDescent="0.2">
      <c r="A1332" s="2"/>
    </row>
    <row r="1333" spans="1:1" ht="12.75" x14ac:dyDescent="0.2">
      <c r="A1333" s="2"/>
    </row>
    <row r="1334" spans="1:1" ht="12.75" x14ac:dyDescent="0.2">
      <c r="A1334" s="2"/>
    </row>
    <row r="1335" spans="1:1" ht="12.75" x14ac:dyDescent="0.2">
      <c r="A1335" s="2"/>
    </row>
    <row r="1336" spans="1:1" ht="12.75" x14ac:dyDescent="0.2">
      <c r="A1336" s="2"/>
    </row>
    <row r="1337" spans="1:1" ht="12.75" x14ac:dyDescent="0.2">
      <c r="A1337" s="2"/>
    </row>
    <row r="1338" spans="1:1" ht="12.75" x14ac:dyDescent="0.2">
      <c r="A1338" s="2"/>
    </row>
    <row r="1339" spans="1:1" ht="12.75" x14ac:dyDescent="0.2">
      <c r="A1339" s="2"/>
    </row>
    <row r="1340" spans="1:1" ht="12.75" x14ac:dyDescent="0.2">
      <c r="A1340" s="2"/>
    </row>
    <row r="1341" spans="1:1" ht="12.75" x14ac:dyDescent="0.2">
      <c r="A1341" s="2"/>
    </row>
    <row r="1342" spans="1:1" ht="12.75" x14ac:dyDescent="0.2">
      <c r="A1342" s="2"/>
    </row>
    <row r="1343" spans="1:1" ht="12.75" x14ac:dyDescent="0.2">
      <c r="A1343" s="2"/>
    </row>
    <row r="1344" spans="1:1" ht="12.75" x14ac:dyDescent="0.2">
      <c r="A1344" s="2"/>
    </row>
    <row r="1345" spans="1:1" ht="12.75" x14ac:dyDescent="0.2">
      <c r="A1345" s="2"/>
    </row>
    <row r="1346" spans="1:1" ht="12.75" x14ac:dyDescent="0.2">
      <c r="A1346" s="2"/>
    </row>
    <row r="1347" spans="1:1" ht="12.75" x14ac:dyDescent="0.2">
      <c r="A1347" s="2"/>
    </row>
    <row r="1348" spans="1:1" ht="12.75" x14ac:dyDescent="0.2">
      <c r="A1348" s="2"/>
    </row>
    <row r="1349" spans="1:1" ht="12.75" x14ac:dyDescent="0.2">
      <c r="A1349" s="2"/>
    </row>
    <row r="1350" spans="1:1" ht="12.75" x14ac:dyDescent="0.2">
      <c r="A1350" s="2"/>
    </row>
    <row r="1351" spans="1:1" ht="12.75" x14ac:dyDescent="0.2">
      <c r="A1351" s="2"/>
    </row>
    <row r="1352" spans="1:1" ht="12.75" x14ac:dyDescent="0.2">
      <c r="A1352" s="2"/>
    </row>
    <row r="1353" spans="1:1" ht="12.75" x14ac:dyDescent="0.2">
      <c r="A1353" s="2"/>
    </row>
    <row r="1354" spans="1:1" ht="12.75" x14ac:dyDescent="0.2">
      <c r="A1354" s="2"/>
    </row>
    <row r="1355" spans="1:1" ht="12.75" x14ac:dyDescent="0.2">
      <c r="A1355" s="2"/>
    </row>
    <row r="1356" spans="1:1" ht="12.75" x14ac:dyDescent="0.2">
      <c r="A1356" s="2"/>
    </row>
    <row r="1357" spans="1:1" ht="12.75" x14ac:dyDescent="0.2">
      <c r="A1357" s="2"/>
    </row>
    <row r="1358" spans="1:1" ht="12.75" x14ac:dyDescent="0.2">
      <c r="A1358" s="2"/>
    </row>
    <row r="1359" spans="1:1" ht="12.75" x14ac:dyDescent="0.2">
      <c r="A1359" s="2"/>
    </row>
    <row r="1360" spans="1:1" ht="12.75" x14ac:dyDescent="0.2">
      <c r="A1360" s="2"/>
    </row>
    <row r="1361" spans="1:1" ht="12.75" x14ac:dyDescent="0.2">
      <c r="A1361" s="2"/>
    </row>
    <row r="1362" spans="1:1" ht="12.75" x14ac:dyDescent="0.2">
      <c r="A1362" s="2"/>
    </row>
    <row r="1363" spans="1:1" ht="12.75" x14ac:dyDescent="0.2">
      <c r="A1363" s="2"/>
    </row>
    <row r="1364" spans="1:1" ht="12.75" x14ac:dyDescent="0.2">
      <c r="A1364" s="2"/>
    </row>
    <row r="1365" spans="1:1" ht="12.75" x14ac:dyDescent="0.2">
      <c r="A1365" s="2"/>
    </row>
    <row r="1366" spans="1:1" ht="12.75" x14ac:dyDescent="0.2">
      <c r="A1366" s="2"/>
    </row>
    <row r="1367" spans="1:1" ht="12.75" x14ac:dyDescent="0.2">
      <c r="A1367" s="2"/>
    </row>
    <row r="1368" spans="1:1" ht="12.75" x14ac:dyDescent="0.2">
      <c r="A1368" s="2"/>
    </row>
    <row r="1369" spans="1:1" ht="12.75" x14ac:dyDescent="0.2">
      <c r="A1369" s="2"/>
    </row>
    <row r="1370" spans="1:1" ht="12.75" x14ac:dyDescent="0.2">
      <c r="A1370" s="2"/>
    </row>
    <row r="1371" spans="1:1" ht="12.75" x14ac:dyDescent="0.2">
      <c r="A1371" s="2"/>
    </row>
    <row r="1372" spans="1:1" ht="12.75" x14ac:dyDescent="0.2">
      <c r="A1372" s="2"/>
    </row>
    <row r="1373" spans="1:1" ht="12.75" x14ac:dyDescent="0.2">
      <c r="A1373" s="2"/>
    </row>
    <row r="1374" spans="1:1" ht="12.75" x14ac:dyDescent="0.2">
      <c r="A1374" s="2"/>
    </row>
    <row r="1375" spans="1:1" ht="12.75" x14ac:dyDescent="0.2">
      <c r="A1375" s="2"/>
    </row>
    <row r="1376" spans="1:1" ht="12.75" x14ac:dyDescent="0.2">
      <c r="A1376" s="2"/>
    </row>
    <row r="1377" spans="1:1" ht="12.75" x14ac:dyDescent="0.2">
      <c r="A1377" s="2"/>
    </row>
    <row r="1378" spans="1:1" ht="12.75" x14ac:dyDescent="0.2">
      <c r="A1378" s="2"/>
    </row>
    <row r="1379" spans="1:1" ht="12.75" x14ac:dyDescent="0.2">
      <c r="A1379" s="2"/>
    </row>
    <row r="1380" spans="1:1" ht="12.75" x14ac:dyDescent="0.2">
      <c r="A1380" s="2"/>
    </row>
    <row r="1381" spans="1:1" ht="12.75" x14ac:dyDescent="0.2">
      <c r="A1381" s="2"/>
    </row>
    <row r="1382" spans="1:1" ht="12.75" x14ac:dyDescent="0.2">
      <c r="A1382" s="2"/>
    </row>
    <row r="1383" spans="1:1" ht="12.75" x14ac:dyDescent="0.2">
      <c r="A1383" s="2"/>
    </row>
    <row r="1384" spans="1:1" ht="12.75" x14ac:dyDescent="0.2">
      <c r="A1384" s="2"/>
    </row>
    <row r="1385" spans="1:1" ht="12.75" x14ac:dyDescent="0.2">
      <c r="A1385" s="2"/>
    </row>
    <row r="1386" spans="1:1" ht="12.75" x14ac:dyDescent="0.2">
      <c r="A1386" s="2"/>
    </row>
    <row r="1387" spans="1:1" ht="12.75" x14ac:dyDescent="0.2">
      <c r="A1387" s="2"/>
    </row>
    <row r="1388" spans="1:1" ht="12.75" x14ac:dyDescent="0.2">
      <c r="A1388" s="2"/>
    </row>
    <row r="1389" spans="1:1" ht="12.75" x14ac:dyDescent="0.2">
      <c r="A1389" s="2"/>
    </row>
    <row r="1390" spans="1:1" ht="12.75" x14ac:dyDescent="0.2">
      <c r="A1390" s="2"/>
    </row>
    <row r="1391" spans="1:1" ht="12.75" x14ac:dyDescent="0.2">
      <c r="A1391" s="2"/>
    </row>
    <row r="1392" spans="1:1" ht="12.75" x14ac:dyDescent="0.2">
      <c r="A1392" s="2"/>
    </row>
    <row r="1393" spans="1:1" ht="12.75" x14ac:dyDescent="0.2">
      <c r="A1393" s="2"/>
    </row>
    <row r="1394" spans="1:1" ht="12.75" x14ac:dyDescent="0.2">
      <c r="A1394" s="2"/>
    </row>
    <row r="1395" spans="1:1" ht="12.75" x14ac:dyDescent="0.2">
      <c r="A1395" s="2"/>
    </row>
    <row r="1396" spans="1:1" ht="12.75" x14ac:dyDescent="0.2">
      <c r="A1396" s="2"/>
    </row>
    <row r="1397" spans="1:1" ht="12.75" x14ac:dyDescent="0.2">
      <c r="A1397" s="2"/>
    </row>
    <row r="1398" spans="1:1" ht="12.75" x14ac:dyDescent="0.2">
      <c r="A1398" s="2"/>
    </row>
    <row r="1399" spans="1:1" ht="12.75" x14ac:dyDescent="0.2">
      <c r="A1399" s="2"/>
    </row>
    <row r="1400" spans="1:1" ht="12.75" x14ac:dyDescent="0.2">
      <c r="A1400" s="2"/>
    </row>
    <row r="1401" spans="1:1" ht="12.75" x14ac:dyDescent="0.2">
      <c r="A1401" s="2"/>
    </row>
    <row r="1402" spans="1:1" ht="12.75" x14ac:dyDescent="0.2">
      <c r="A1402" s="2"/>
    </row>
    <row r="1403" spans="1:1" ht="12.75" x14ac:dyDescent="0.2">
      <c r="A1403" s="2"/>
    </row>
    <row r="1404" spans="1:1" ht="12.75" x14ac:dyDescent="0.2">
      <c r="A1404" s="2"/>
    </row>
    <row r="1405" spans="1:1" ht="12.75" x14ac:dyDescent="0.2">
      <c r="A1405" s="2"/>
    </row>
    <row r="1406" spans="1:1" ht="12.75" x14ac:dyDescent="0.2">
      <c r="A1406" s="2"/>
    </row>
    <row r="1407" spans="1:1" ht="12.75" x14ac:dyDescent="0.2">
      <c r="A1407" s="2"/>
    </row>
    <row r="1408" spans="1:1" ht="12.75" x14ac:dyDescent="0.2">
      <c r="A1408" s="2"/>
    </row>
    <row r="1409" spans="1:1" ht="12.75" x14ac:dyDescent="0.2">
      <c r="A1409" s="2"/>
    </row>
    <row r="1410" spans="1:1" ht="12.75" x14ac:dyDescent="0.2">
      <c r="A1410" s="2"/>
    </row>
    <row r="1411" spans="1:1" ht="12.75" x14ac:dyDescent="0.2">
      <c r="A1411" s="2"/>
    </row>
    <row r="1412" spans="1:1" ht="12.75" x14ac:dyDescent="0.2">
      <c r="A1412" s="2"/>
    </row>
    <row r="1413" spans="1:1" ht="12.75" x14ac:dyDescent="0.2">
      <c r="A1413" s="2"/>
    </row>
    <row r="1414" spans="1:1" ht="12.75" x14ac:dyDescent="0.2">
      <c r="A1414" s="2"/>
    </row>
    <row r="1415" spans="1:1" ht="12.75" x14ac:dyDescent="0.2">
      <c r="A1415" s="2"/>
    </row>
    <row r="1416" spans="1:1" ht="12.75" x14ac:dyDescent="0.2">
      <c r="A1416" s="2"/>
    </row>
    <row r="1417" spans="1:1" ht="12.75" x14ac:dyDescent="0.2">
      <c r="A1417" s="2"/>
    </row>
    <row r="1418" spans="1:1" ht="12.75" x14ac:dyDescent="0.2">
      <c r="A1418" s="2"/>
    </row>
    <row r="1419" spans="1:1" ht="12.75" x14ac:dyDescent="0.2">
      <c r="A1419" s="2"/>
    </row>
    <row r="1420" spans="1:1" ht="12.75" x14ac:dyDescent="0.2">
      <c r="A1420" s="2"/>
    </row>
    <row r="1421" spans="1:1" ht="12.75" x14ac:dyDescent="0.2">
      <c r="A1421" s="2"/>
    </row>
    <row r="1422" spans="1:1" ht="12.75" x14ac:dyDescent="0.2">
      <c r="A1422" s="2"/>
    </row>
    <row r="1423" spans="1:1" ht="12.75" x14ac:dyDescent="0.2">
      <c r="A1423" s="2"/>
    </row>
    <row r="1424" spans="1:1" ht="12.75" x14ac:dyDescent="0.2">
      <c r="A1424" s="2"/>
    </row>
    <row r="1425" spans="1:1" ht="12.75" x14ac:dyDescent="0.2">
      <c r="A1425" s="2"/>
    </row>
    <row r="1426" spans="1:1" ht="12.75" x14ac:dyDescent="0.2">
      <c r="A1426" s="2"/>
    </row>
    <row r="1427" spans="1:1" ht="12.75" x14ac:dyDescent="0.2">
      <c r="A1427" s="2"/>
    </row>
    <row r="1428" spans="1:1" ht="12.75" x14ac:dyDescent="0.2">
      <c r="A1428" s="2"/>
    </row>
    <row r="1429" spans="1:1" ht="12.75" x14ac:dyDescent="0.2">
      <c r="A1429" s="2"/>
    </row>
    <row r="1430" spans="1:1" ht="12.75" x14ac:dyDescent="0.2">
      <c r="A1430" s="2"/>
    </row>
    <row r="1431" spans="1:1" ht="12.75" x14ac:dyDescent="0.2">
      <c r="A1431" s="2"/>
    </row>
    <row r="1432" spans="1:1" ht="12.75" x14ac:dyDescent="0.2">
      <c r="A1432" s="2"/>
    </row>
    <row r="1433" spans="1:1" ht="12.75" x14ac:dyDescent="0.2">
      <c r="A1433" s="2"/>
    </row>
    <row r="1434" spans="1:1" ht="12.75" x14ac:dyDescent="0.2">
      <c r="A1434" s="2"/>
    </row>
    <row r="1435" spans="1:1" ht="12.75" x14ac:dyDescent="0.2">
      <c r="A1435" s="2"/>
    </row>
    <row r="1436" spans="1:1" ht="12.75" x14ac:dyDescent="0.2">
      <c r="A1436" s="2"/>
    </row>
    <row r="1437" spans="1:1" ht="12.75" x14ac:dyDescent="0.2">
      <c r="A1437" s="2"/>
    </row>
    <row r="1438" spans="1:1" ht="12.75" x14ac:dyDescent="0.2">
      <c r="A1438" s="2"/>
    </row>
    <row r="1439" spans="1:1" ht="12.75" x14ac:dyDescent="0.2">
      <c r="A1439" s="2"/>
    </row>
    <row r="1440" spans="1:1" ht="12.75" x14ac:dyDescent="0.2">
      <c r="A1440" s="2"/>
    </row>
    <row r="1441" spans="1:1" ht="12.75" x14ac:dyDescent="0.2">
      <c r="A1441" s="2"/>
    </row>
    <row r="1442" spans="1:1" ht="12.75" x14ac:dyDescent="0.2">
      <c r="A1442" s="2"/>
    </row>
    <row r="1443" spans="1:1" ht="12.75" x14ac:dyDescent="0.2">
      <c r="A1443" s="2"/>
    </row>
    <row r="1444" spans="1:1" ht="12.75" x14ac:dyDescent="0.2">
      <c r="A1444" s="2"/>
    </row>
    <row r="1445" spans="1:1" ht="12.75" x14ac:dyDescent="0.2">
      <c r="A1445" s="2"/>
    </row>
    <row r="1446" spans="1:1" ht="12.75" x14ac:dyDescent="0.2">
      <c r="A1446" s="2"/>
    </row>
    <row r="1447" spans="1:1" ht="12.75" x14ac:dyDescent="0.2">
      <c r="A1447" s="2"/>
    </row>
    <row r="1448" spans="1:1" ht="12.75" x14ac:dyDescent="0.2">
      <c r="A1448" s="2"/>
    </row>
    <row r="1449" spans="1:1" ht="12.75" x14ac:dyDescent="0.2">
      <c r="A1449" s="2"/>
    </row>
    <row r="1450" spans="1:1" ht="12.75" x14ac:dyDescent="0.2">
      <c r="A1450" s="2"/>
    </row>
    <row r="1451" spans="1:1" ht="12.75" x14ac:dyDescent="0.2">
      <c r="A1451" s="2"/>
    </row>
    <row r="1452" spans="1:1" ht="12.75" x14ac:dyDescent="0.2">
      <c r="A1452" s="2"/>
    </row>
    <row r="1453" spans="1:1" ht="12.75" x14ac:dyDescent="0.2">
      <c r="A1453" s="2"/>
    </row>
    <row r="1454" spans="1:1" ht="12.75" x14ac:dyDescent="0.2">
      <c r="A1454" s="2"/>
    </row>
    <row r="1455" spans="1:1" ht="12.75" x14ac:dyDescent="0.2">
      <c r="A1455" s="2"/>
    </row>
    <row r="1456" spans="1:1" ht="12.75" x14ac:dyDescent="0.2">
      <c r="A1456" s="2"/>
    </row>
    <row r="1457" spans="1:1" ht="12.75" x14ac:dyDescent="0.2">
      <c r="A1457" s="2"/>
    </row>
    <row r="1458" spans="1:1" ht="12.75" x14ac:dyDescent="0.2">
      <c r="A1458" s="2"/>
    </row>
    <row r="1459" spans="1:1" ht="12.75" x14ac:dyDescent="0.2">
      <c r="A1459" s="2"/>
    </row>
    <row r="1460" spans="1:1" ht="12.75" x14ac:dyDescent="0.2">
      <c r="A1460" s="2"/>
    </row>
    <row r="1461" spans="1:1" ht="12.75" x14ac:dyDescent="0.2">
      <c r="A1461" s="2"/>
    </row>
    <row r="1462" spans="1:1" ht="12.75" x14ac:dyDescent="0.2">
      <c r="A1462" s="2"/>
    </row>
    <row r="1463" spans="1:1" ht="12.75" x14ac:dyDescent="0.2">
      <c r="A1463" s="2"/>
    </row>
    <row r="1464" spans="1:1" ht="12.75" x14ac:dyDescent="0.2">
      <c r="A1464" s="2"/>
    </row>
    <row r="1465" spans="1:1" ht="12.75" x14ac:dyDescent="0.2">
      <c r="A1465" s="2"/>
    </row>
    <row r="1466" spans="1:1" ht="12.75" x14ac:dyDescent="0.2">
      <c r="A1466" s="2"/>
    </row>
    <row r="1467" spans="1:1" ht="12.75" x14ac:dyDescent="0.2">
      <c r="A1467" s="2"/>
    </row>
    <row r="1468" spans="1:1" ht="12.75" x14ac:dyDescent="0.2">
      <c r="A1468" s="2"/>
    </row>
    <row r="1469" spans="1:1" ht="12.75" x14ac:dyDescent="0.2">
      <c r="A1469" s="2"/>
    </row>
    <row r="1470" spans="1:1" ht="12.75" x14ac:dyDescent="0.2">
      <c r="A1470" s="2"/>
    </row>
    <row r="1471" spans="1:1" ht="12.75" x14ac:dyDescent="0.2">
      <c r="A1471" s="2"/>
    </row>
    <row r="1472" spans="1:1" ht="12.75" x14ac:dyDescent="0.2">
      <c r="A1472" s="2"/>
    </row>
    <row r="1473" spans="1:1" ht="12.75" x14ac:dyDescent="0.2">
      <c r="A1473" s="2"/>
    </row>
    <row r="1474" spans="1:1" ht="12.75" x14ac:dyDescent="0.2">
      <c r="A1474" s="2"/>
    </row>
    <row r="1475" spans="1:1" ht="12.75" x14ac:dyDescent="0.2">
      <c r="A1475" s="2"/>
    </row>
    <row r="1476" spans="1:1" ht="12.75" x14ac:dyDescent="0.2">
      <c r="A1476" s="2"/>
    </row>
    <row r="1477" spans="1:1" ht="12.75" x14ac:dyDescent="0.2">
      <c r="A1477" s="2"/>
    </row>
    <row r="1478" spans="1:1" ht="12.75" x14ac:dyDescent="0.2">
      <c r="A1478" s="2"/>
    </row>
    <row r="1479" spans="1:1" ht="12.75" x14ac:dyDescent="0.2">
      <c r="A1479" s="2"/>
    </row>
    <row r="1480" spans="1:1" ht="12.75" x14ac:dyDescent="0.2">
      <c r="A1480" s="2"/>
    </row>
    <row r="1481" spans="1:1" ht="12.75" x14ac:dyDescent="0.2">
      <c r="A1481" s="2"/>
    </row>
    <row r="1482" spans="1:1" ht="12.75" x14ac:dyDescent="0.2">
      <c r="A1482" s="2"/>
    </row>
    <row r="1483" spans="1:1" ht="12.75" x14ac:dyDescent="0.2">
      <c r="A1483" s="2"/>
    </row>
    <row r="1484" spans="1:1" ht="12.75" x14ac:dyDescent="0.2">
      <c r="A1484" s="2"/>
    </row>
    <row r="1485" spans="1:1" ht="12.75" x14ac:dyDescent="0.2">
      <c r="A1485" s="2"/>
    </row>
    <row r="1486" spans="1:1" ht="12.75" x14ac:dyDescent="0.2">
      <c r="A1486" s="2"/>
    </row>
    <row r="1487" spans="1:1" ht="12.75" x14ac:dyDescent="0.2">
      <c r="A1487" s="2"/>
    </row>
    <row r="1488" spans="1:1" ht="12.75" x14ac:dyDescent="0.2">
      <c r="A1488" s="2"/>
    </row>
    <row r="1489" spans="1:1" ht="12.75" x14ac:dyDescent="0.2">
      <c r="A1489" s="2"/>
    </row>
    <row r="1490" spans="1:1" ht="12.75" x14ac:dyDescent="0.2">
      <c r="A1490" s="2"/>
    </row>
    <row r="1491" spans="1:1" ht="12.75" x14ac:dyDescent="0.2">
      <c r="A1491" s="2"/>
    </row>
    <row r="1492" spans="1:1" ht="12.75" x14ac:dyDescent="0.2">
      <c r="A1492" s="2"/>
    </row>
    <row r="1493" spans="1:1" ht="12.75" x14ac:dyDescent="0.2">
      <c r="A1493" s="2"/>
    </row>
    <row r="1494" spans="1:1" ht="12.75" x14ac:dyDescent="0.2">
      <c r="A1494" s="2"/>
    </row>
    <row r="1495" spans="1:1" ht="12.75" x14ac:dyDescent="0.2">
      <c r="A1495" s="2"/>
    </row>
    <row r="1496" spans="1:1" ht="12.75" x14ac:dyDescent="0.2">
      <c r="A1496" s="2"/>
    </row>
    <row r="1497" spans="1:1" ht="12.75" x14ac:dyDescent="0.2">
      <c r="A1497" s="2"/>
    </row>
    <row r="1498" spans="1:1" ht="12.75" x14ac:dyDescent="0.2">
      <c r="A1498" s="2"/>
    </row>
    <row r="1499" spans="1:1" ht="12.75" x14ac:dyDescent="0.2">
      <c r="A1499" s="2"/>
    </row>
    <row r="1500" spans="1:1" ht="12.75" x14ac:dyDescent="0.2">
      <c r="A1500" s="2"/>
    </row>
    <row r="1501" spans="1:1" ht="12.75" x14ac:dyDescent="0.2">
      <c r="A1501" s="2"/>
    </row>
    <row r="1502" spans="1:1" ht="12.75" x14ac:dyDescent="0.2">
      <c r="A1502" s="2"/>
    </row>
    <row r="1503" spans="1:1" ht="12.75" x14ac:dyDescent="0.2">
      <c r="A1503" s="2"/>
    </row>
    <row r="1504" spans="1:1" ht="12.75" x14ac:dyDescent="0.2">
      <c r="A1504" s="2"/>
    </row>
    <row r="1505" spans="1:1" ht="12.75" x14ac:dyDescent="0.2">
      <c r="A1505" s="2"/>
    </row>
    <row r="1506" spans="1:1" ht="12.75" x14ac:dyDescent="0.2">
      <c r="A1506" s="2"/>
    </row>
    <row r="1507" spans="1:1" ht="12.75" x14ac:dyDescent="0.2">
      <c r="A1507" s="2"/>
    </row>
    <row r="1508" spans="1:1" ht="12.75" x14ac:dyDescent="0.2">
      <c r="A1508" s="2"/>
    </row>
    <row r="1509" spans="1:1" ht="12.75" x14ac:dyDescent="0.2">
      <c r="A1509" s="2"/>
    </row>
    <row r="1510" spans="1:1" ht="12.75" x14ac:dyDescent="0.2">
      <c r="A1510" s="2"/>
    </row>
    <row r="1511" spans="1:1" ht="12.75" x14ac:dyDescent="0.2">
      <c r="A1511" s="2"/>
    </row>
    <row r="1512" spans="1:1" ht="12.75" x14ac:dyDescent="0.2">
      <c r="A1512" s="2"/>
    </row>
    <row r="1513" spans="1:1" ht="12.75" x14ac:dyDescent="0.2">
      <c r="A1513" s="2"/>
    </row>
    <row r="1514" spans="1:1" ht="12.75" x14ac:dyDescent="0.2">
      <c r="A1514" s="2"/>
    </row>
    <row r="1515" spans="1:1" ht="12.75" x14ac:dyDescent="0.2">
      <c r="A1515" s="2"/>
    </row>
    <row r="1516" spans="1:1" ht="12.75" x14ac:dyDescent="0.2">
      <c r="A1516" s="2"/>
    </row>
    <row r="1517" spans="1:1" ht="12.75" x14ac:dyDescent="0.2">
      <c r="A1517" s="2"/>
    </row>
    <row r="1518" spans="1:1" ht="12.75" x14ac:dyDescent="0.2">
      <c r="A1518" s="2"/>
    </row>
    <row r="1519" spans="1:1" ht="12.75" x14ac:dyDescent="0.2">
      <c r="A1519" s="2"/>
    </row>
    <row r="1520" spans="1:1" ht="12.75" x14ac:dyDescent="0.2">
      <c r="A1520" s="2"/>
    </row>
    <row r="1521" spans="1:1" ht="12.75" x14ac:dyDescent="0.2">
      <c r="A1521" s="2"/>
    </row>
    <row r="1522" spans="1:1" ht="12.75" x14ac:dyDescent="0.2">
      <c r="A1522" s="2"/>
    </row>
    <row r="1523" spans="1:1" ht="12.75" x14ac:dyDescent="0.2">
      <c r="A1523" s="2"/>
    </row>
    <row r="1524" spans="1:1" ht="12.75" x14ac:dyDescent="0.2">
      <c r="A1524" s="2"/>
    </row>
    <row r="1525" spans="1:1" ht="12.75" x14ac:dyDescent="0.2">
      <c r="A1525" s="2"/>
    </row>
    <row r="1526" spans="1:1" ht="12.75" x14ac:dyDescent="0.2">
      <c r="A1526" s="2"/>
    </row>
    <row r="1527" spans="1:1" ht="12.75" x14ac:dyDescent="0.2">
      <c r="A1527" s="2"/>
    </row>
    <row r="1528" spans="1:1" ht="12.75" x14ac:dyDescent="0.2">
      <c r="A1528" s="2"/>
    </row>
    <row r="1529" spans="1:1" ht="12.75" x14ac:dyDescent="0.2">
      <c r="A1529" s="2"/>
    </row>
    <row r="1530" spans="1:1" ht="12.75" x14ac:dyDescent="0.2">
      <c r="A1530" s="2"/>
    </row>
    <row r="1531" spans="1:1" ht="12.75" x14ac:dyDescent="0.2">
      <c r="A1531" s="2"/>
    </row>
    <row r="1532" spans="1:1" ht="12.75" x14ac:dyDescent="0.2">
      <c r="A1532" s="2"/>
    </row>
    <row r="1533" spans="1:1" ht="12.75" x14ac:dyDescent="0.2">
      <c r="A1533" s="2"/>
    </row>
    <row r="1534" spans="1:1" ht="12.75" x14ac:dyDescent="0.2">
      <c r="A1534" s="2"/>
    </row>
    <row r="1535" spans="1:1" ht="12.75" x14ac:dyDescent="0.2">
      <c r="A1535" s="2"/>
    </row>
    <row r="1536" spans="1:1" ht="12.75" x14ac:dyDescent="0.2">
      <c r="A1536" s="2"/>
    </row>
    <row r="1537" spans="1:1" ht="12.75" x14ac:dyDescent="0.2">
      <c r="A1537" s="2"/>
    </row>
    <row r="1538" spans="1:1" ht="12.75" x14ac:dyDescent="0.2">
      <c r="A1538" s="2"/>
    </row>
    <row r="1539" spans="1:1" ht="12.75" x14ac:dyDescent="0.2">
      <c r="A1539" s="2"/>
    </row>
    <row r="1540" spans="1:1" ht="12.75" x14ac:dyDescent="0.2">
      <c r="A1540" s="2"/>
    </row>
    <row r="1541" spans="1:1" ht="12.75" x14ac:dyDescent="0.2">
      <c r="A1541" s="2"/>
    </row>
    <row r="1542" spans="1:1" ht="12.75" x14ac:dyDescent="0.2">
      <c r="A1542" s="2"/>
    </row>
    <row r="1543" spans="1:1" ht="12.75" x14ac:dyDescent="0.2">
      <c r="A1543" s="2"/>
    </row>
    <row r="1544" spans="1:1" ht="12.75" x14ac:dyDescent="0.2">
      <c r="A1544" s="2"/>
    </row>
    <row r="1545" spans="1:1" ht="12.75" x14ac:dyDescent="0.2">
      <c r="A1545" s="2"/>
    </row>
    <row r="1546" spans="1:1" ht="12.75" x14ac:dyDescent="0.2">
      <c r="A1546" s="2"/>
    </row>
    <row r="1547" spans="1:1" ht="12.75" x14ac:dyDescent="0.2">
      <c r="A1547" s="2"/>
    </row>
    <row r="1548" spans="1:1" ht="12.75" x14ac:dyDescent="0.2">
      <c r="A1548" s="2"/>
    </row>
    <row r="1549" spans="1:1" ht="12.75" x14ac:dyDescent="0.2">
      <c r="A1549" s="2"/>
    </row>
    <row r="1550" spans="1:1" ht="12.75" x14ac:dyDescent="0.2">
      <c r="A1550" s="2"/>
    </row>
    <row r="1551" spans="1:1" ht="12.75" x14ac:dyDescent="0.2">
      <c r="A1551" s="2"/>
    </row>
    <row r="1552" spans="1:1" ht="12.75" x14ac:dyDescent="0.2">
      <c r="A1552" s="2"/>
    </row>
    <row r="1553" spans="1:1" ht="12.75" x14ac:dyDescent="0.2">
      <c r="A1553" s="2"/>
    </row>
    <row r="1554" spans="1:1" ht="12.75" x14ac:dyDescent="0.2">
      <c r="A1554" s="2"/>
    </row>
    <row r="1555" spans="1:1" ht="12.75" x14ac:dyDescent="0.2">
      <c r="A1555" s="2"/>
    </row>
    <row r="1556" spans="1:1" ht="12.75" x14ac:dyDescent="0.2">
      <c r="A1556" s="2"/>
    </row>
    <row r="1557" spans="1:1" ht="12.75" x14ac:dyDescent="0.2">
      <c r="A1557" s="2"/>
    </row>
    <row r="1558" spans="1:1" ht="12.75" x14ac:dyDescent="0.2">
      <c r="A1558" s="2"/>
    </row>
    <row r="1559" spans="1:1" ht="12.75" x14ac:dyDescent="0.2">
      <c r="A1559" s="2"/>
    </row>
    <row r="1560" spans="1:1" ht="12.75" x14ac:dyDescent="0.2">
      <c r="A1560" s="2"/>
    </row>
    <row r="1561" spans="1:1" ht="12.75" x14ac:dyDescent="0.2">
      <c r="A1561" s="2"/>
    </row>
    <row r="1562" spans="1:1" ht="12.75" x14ac:dyDescent="0.2">
      <c r="A1562" s="2"/>
    </row>
    <row r="1563" spans="1:1" ht="12.75" x14ac:dyDescent="0.2">
      <c r="A1563" s="2"/>
    </row>
    <row r="1564" spans="1:1" ht="12.75" x14ac:dyDescent="0.2">
      <c r="A1564" s="2"/>
    </row>
    <row r="1565" spans="1:1" ht="12.75" x14ac:dyDescent="0.2">
      <c r="A1565" s="2"/>
    </row>
    <row r="1566" spans="1:1" ht="12.75" x14ac:dyDescent="0.2">
      <c r="A1566" s="2"/>
    </row>
    <row r="1567" spans="1:1" ht="12.75" x14ac:dyDescent="0.2">
      <c r="A1567" s="2"/>
    </row>
    <row r="1568" spans="1:1" ht="12.75" x14ac:dyDescent="0.2">
      <c r="A1568" s="2"/>
    </row>
    <row r="1569" spans="1:1" ht="12.75" x14ac:dyDescent="0.2">
      <c r="A1569" s="2"/>
    </row>
    <row r="1570" spans="1:1" ht="12.75" x14ac:dyDescent="0.2">
      <c r="A1570" s="2"/>
    </row>
    <row r="1571" spans="1:1" ht="12.75" x14ac:dyDescent="0.2">
      <c r="A1571" s="2"/>
    </row>
    <row r="1572" spans="1:1" ht="12.75" x14ac:dyDescent="0.2">
      <c r="A1572" s="2"/>
    </row>
    <row r="1573" spans="1:1" ht="12.75" x14ac:dyDescent="0.2">
      <c r="A1573" s="2"/>
    </row>
    <row r="1574" spans="1:1" ht="12.75" x14ac:dyDescent="0.2">
      <c r="A1574" s="2"/>
    </row>
    <row r="1575" spans="1:1" ht="12.75" x14ac:dyDescent="0.2">
      <c r="A1575" s="2"/>
    </row>
    <row r="1576" spans="1:1" ht="12.75" x14ac:dyDescent="0.2">
      <c r="A1576" s="2"/>
    </row>
    <row r="1577" spans="1:1" ht="12.75" x14ac:dyDescent="0.2">
      <c r="A1577" s="2"/>
    </row>
    <row r="1578" spans="1:1" ht="12.75" x14ac:dyDescent="0.2">
      <c r="A1578" s="2"/>
    </row>
    <row r="1579" spans="1:1" ht="12.75" x14ac:dyDescent="0.2">
      <c r="A1579" s="2"/>
    </row>
    <row r="1580" spans="1:1" ht="12.75" x14ac:dyDescent="0.2">
      <c r="A1580" s="2"/>
    </row>
  </sheetData>
  <hyperlinks>
    <hyperlink ref="A200" r:id="rId1" display="http://falabella.com/" xr:uid="{00000000-0004-0000-0100-000000000000}"/>
    <hyperlink ref="A204" r:id="rId2" display="http://falabella.com/" xr:uid="{00000000-0004-0000-0100-000001000000}"/>
    <hyperlink ref="A743" r:id="rId3" display="http://falabella.com/" xr:uid="{00000000-0004-0000-01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4. PROCESO DE SELECCIÓN INCLUYE</vt:lpstr>
      <vt:lpstr>BD</vt:lpstr>
      <vt:lpstr>Vinculados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Aaron Uyaban</cp:lastModifiedBy>
  <dcterms:modified xsi:type="dcterms:W3CDTF">2026-03-19T14:32:49Z</dcterms:modified>
</cp:coreProperties>
</file>